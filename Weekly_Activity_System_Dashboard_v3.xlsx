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ghtcareservicescouk.sharepoint.com/sites/RCSManagement/Shared Documents/DASHBOARD RCS/RCS LTD/Service Users 1-1 log/"/>
    </mc:Choice>
  </mc:AlternateContent>
  <xr:revisionPtr revIDLastSave="59" documentId="8_{20A2B187-C676-4B44-9D28-0C39711A7C1F}" xr6:coauthVersionLast="47" xr6:coauthVersionMax="47" xr10:uidLastSave="{921B0110-6873-477F-B5AD-8D4ABB2369F7}"/>
  <bookViews>
    <workbookView xWindow="-120" yWindow="-120" windowWidth="29040" windowHeight="15720" activeTab="2" xr2:uid="{00000000-000D-0000-FFFF-FFFF00000000}"/>
  </bookViews>
  <sheets>
    <sheet name="Lists" sheetId="1" r:id="rId1"/>
    <sheet name="Master Template" sheetId="2" r:id="rId2"/>
    <sheet name="Summary" sheetId="3" r:id="rId3"/>
    <sheet name="Commissioner Export" sheetId="4" r:id="rId4"/>
    <sheet name="Config" sheetId="5" r:id="rId5"/>
    <sheet name="Dashboard" sheetId="6" r:id="rId6"/>
  </sheets>
  <definedNames>
    <definedName name="_xlnm.Print_Area" localSheetId="3">'Commissioner Export'!$A$1:$E$30</definedName>
    <definedName name="Users_List">Config!$A$2:$A$2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6" l="1"/>
  <c r="E42" i="6"/>
  <c r="E41" i="6"/>
  <c r="E40" i="6"/>
  <c r="E39" i="6"/>
  <c r="E38" i="6"/>
  <c r="F38" i="6" s="1"/>
  <c r="E37" i="6"/>
  <c r="G37" i="6" s="1"/>
  <c r="E36" i="6"/>
  <c r="G36" i="6" s="1"/>
  <c r="E35" i="6"/>
  <c r="G35" i="6" s="1"/>
  <c r="E34" i="6"/>
  <c r="G34" i="6" s="1"/>
  <c r="E33" i="6"/>
  <c r="G33" i="6" s="1"/>
  <c r="E32" i="6"/>
  <c r="F32" i="6" s="1"/>
  <c r="E31" i="6"/>
  <c r="G31" i="6" s="1"/>
  <c r="E30" i="6"/>
  <c r="G30" i="6" s="1"/>
  <c r="E29" i="6"/>
  <c r="G29" i="6" s="1"/>
  <c r="E28" i="6"/>
  <c r="E27" i="6"/>
  <c r="E24" i="6"/>
  <c r="G24" i="6" s="1"/>
  <c r="E23" i="6"/>
  <c r="E22" i="6"/>
  <c r="E21" i="6"/>
  <c r="G21" i="6" s="1"/>
  <c r="F20" i="6"/>
  <c r="E20" i="6"/>
  <c r="E19" i="6"/>
  <c r="G19" i="6" s="1"/>
  <c r="F18" i="6"/>
  <c r="E18" i="6"/>
  <c r="E17" i="6"/>
  <c r="F17" i="6" s="1"/>
  <c r="F16" i="6"/>
  <c r="E16" i="6"/>
  <c r="E15" i="6"/>
  <c r="G15" i="6" s="1"/>
  <c r="E14" i="6"/>
  <c r="B10" i="6"/>
  <c r="B8" i="6"/>
  <c r="B7" i="6"/>
  <c r="B28" i="4"/>
  <c r="A22" i="4"/>
  <c r="B19" i="4"/>
  <c r="B18" i="4"/>
  <c r="B17" i="4"/>
  <c r="B16" i="4"/>
  <c r="B15" i="4"/>
  <c r="B14" i="4"/>
  <c r="B13" i="4"/>
  <c r="B12" i="4"/>
  <c r="B11" i="4"/>
  <c r="B8" i="4"/>
  <c r="B7" i="4"/>
  <c r="B6" i="4"/>
  <c r="B5" i="4"/>
  <c r="B4" i="4"/>
  <c r="F151" i="3"/>
  <c r="B151" i="3"/>
  <c r="A151" i="3"/>
  <c r="F150" i="3"/>
  <c r="B150" i="3"/>
  <c r="A150" i="3"/>
  <c r="F149" i="3"/>
  <c r="B149" i="3"/>
  <c r="A149" i="3"/>
  <c r="F148" i="3"/>
  <c r="B148" i="3"/>
  <c r="A148" i="3"/>
  <c r="F147" i="3"/>
  <c r="B147" i="3"/>
  <c r="A147" i="3"/>
  <c r="F146" i="3"/>
  <c r="B146" i="3"/>
  <c r="A146" i="3"/>
  <c r="F145" i="3"/>
  <c r="B145" i="3"/>
  <c r="A145" i="3"/>
  <c r="F144" i="3"/>
  <c r="B144" i="3"/>
  <c r="A144" i="3"/>
  <c r="F143" i="3"/>
  <c r="B143" i="3"/>
  <c r="A143" i="3"/>
  <c r="F142" i="3"/>
  <c r="B142" i="3"/>
  <c r="A142" i="3"/>
  <c r="F141" i="3"/>
  <c r="B141" i="3"/>
  <c r="A141" i="3"/>
  <c r="F140" i="3"/>
  <c r="B140" i="3"/>
  <c r="A140" i="3"/>
  <c r="F139" i="3"/>
  <c r="B139" i="3"/>
  <c r="A139" i="3"/>
  <c r="F138" i="3"/>
  <c r="B138" i="3"/>
  <c r="A138" i="3"/>
  <c r="F137" i="3"/>
  <c r="B137" i="3"/>
  <c r="A137" i="3"/>
  <c r="F136" i="3"/>
  <c r="B136" i="3"/>
  <c r="A136" i="3"/>
  <c r="F135" i="3"/>
  <c r="B135" i="3"/>
  <c r="A135" i="3"/>
  <c r="F134" i="3"/>
  <c r="B134" i="3"/>
  <c r="A134" i="3"/>
  <c r="F133" i="3"/>
  <c r="B133" i="3"/>
  <c r="A133" i="3"/>
  <c r="F132" i="3"/>
  <c r="B132" i="3"/>
  <c r="A132" i="3"/>
  <c r="F131" i="3"/>
  <c r="B131" i="3"/>
  <c r="A131" i="3"/>
  <c r="F130" i="3"/>
  <c r="B130" i="3"/>
  <c r="A130" i="3"/>
  <c r="F129" i="3"/>
  <c r="B129" i="3"/>
  <c r="A129" i="3"/>
  <c r="F128" i="3"/>
  <c r="B128" i="3"/>
  <c r="A128" i="3"/>
  <c r="F127" i="3"/>
  <c r="B127" i="3"/>
  <c r="A127" i="3"/>
  <c r="F126" i="3"/>
  <c r="B126" i="3"/>
  <c r="A126" i="3"/>
  <c r="F125" i="3"/>
  <c r="B125" i="3"/>
  <c r="A125" i="3"/>
  <c r="F124" i="3"/>
  <c r="B124" i="3"/>
  <c r="A124" i="3"/>
  <c r="F123" i="3"/>
  <c r="B123" i="3"/>
  <c r="A123" i="3"/>
  <c r="F122" i="3"/>
  <c r="B122" i="3"/>
  <c r="A122" i="3"/>
  <c r="F121" i="3"/>
  <c r="B121" i="3"/>
  <c r="A121" i="3"/>
  <c r="F120" i="3"/>
  <c r="B120" i="3"/>
  <c r="A120" i="3"/>
  <c r="F119" i="3"/>
  <c r="B119" i="3"/>
  <c r="A119" i="3"/>
  <c r="F118" i="3"/>
  <c r="B118" i="3"/>
  <c r="A118" i="3"/>
  <c r="F117" i="3"/>
  <c r="B117" i="3"/>
  <c r="A117" i="3"/>
  <c r="F116" i="3"/>
  <c r="B116" i="3"/>
  <c r="A116" i="3"/>
  <c r="F115" i="3"/>
  <c r="B115" i="3"/>
  <c r="A115" i="3"/>
  <c r="F114" i="3"/>
  <c r="B114" i="3"/>
  <c r="A114" i="3"/>
  <c r="F113" i="3"/>
  <c r="B113" i="3"/>
  <c r="A113" i="3"/>
  <c r="F112" i="3"/>
  <c r="B112" i="3"/>
  <c r="A112" i="3"/>
  <c r="F111" i="3"/>
  <c r="B111" i="3"/>
  <c r="A111" i="3"/>
  <c r="F110" i="3"/>
  <c r="B110" i="3"/>
  <c r="A110" i="3"/>
  <c r="F109" i="3"/>
  <c r="B109" i="3"/>
  <c r="A109" i="3"/>
  <c r="F108" i="3"/>
  <c r="B108" i="3"/>
  <c r="A108" i="3"/>
  <c r="F107" i="3"/>
  <c r="B107" i="3"/>
  <c r="A107" i="3"/>
  <c r="F106" i="3"/>
  <c r="B106" i="3"/>
  <c r="A106" i="3"/>
  <c r="F105" i="3"/>
  <c r="B105" i="3"/>
  <c r="A105" i="3"/>
  <c r="F104" i="3"/>
  <c r="B104" i="3"/>
  <c r="A104" i="3"/>
  <c r="F103" i="3"/>
  <c r="B103" i="3"/>
  <c r="A103" i="3"/>
  <c r="F102" i="3"/>
  <c r="B102" i="3"/>
  <c r="A102" i="3"/>
  <c r="F101" i="3"/>
  <c r="B101" i="3"/>
  <c r="A101" i="3"/>
  <c r="F100" i="3"/>
  <c r="B100" i="3"/>
  <c r="A100" i="3"/>
  <c r="F99" i="3"/>
  <c r="B99" i="3"/>
  <c r="A99" i="3"/>
  <c r="F98" i="3"/>
  <c r="B98" i="3"/>
  <c r="A98" i="3"/>
  <c r="F97" i="3"/>
  <c r="B97" i="3"/>
  <c r="A97" i="3"/>
  <c r="F96" i="3"/>
  <c r="B96" i="3"/>
  <c r="A96" i="3"/>
  <c r="F95" i="3"/>
  <c r="B95" i="3"/>
  <c r="A95" i="3"/>
  <c r="F94" i="3"/>
  <c r="B94" i="3"/>
  <c r="A94" i="3"/>
  <c r="F93" i="3"/>
  <c r="B93" i="3"/>
  <c r="A93" i="3"/>
  <c r="F92" i="3"/>
  <c r="B92" i="3"/>
  <c r="A92" i="3"/>
  <c r="F91" i="3"/>
  <c r="B91" i="3"/>
  <c r="A91" i="3"/>
  <c r="F90" i="3"/>
  <c r="B90" i="3"/>
  <c r="A90" i="3"/>
  <c r="F89" i="3"/>
  <c r="B89" i="3"/>
  <c r="A89" i="3"/>
  <c r="F88" i="3"/>
  <c r="B88" i="3"/>
  <c r="A88" i="3"/>
  <c r="F87" i="3"/>
  <c r="B87" i="3"/>
  <c r="A87" i="3"/>
  <c r="F86" i="3"/>
  <c r="B86" i="3"/>
  <c r="A86" i="3"/>
  <c r="F85" i="3"/>
  <c r="B85" i="3"/>
  <c r="A85" i="3"/>
  <c r="F84" i="3"/>
  <c r="B84" i="3"/>
  <c r="A84" i="3"/>
  <c r="F83" i="3"/>
  <c r="B83" i="3"/>
  <c r="A83" i="3"/>
  <c r="F82" i="3"/>
  <c r="B82" i="3"/>
  <c r="A82" i="3"/>
  <c r="F81" i="3"/>
  <c r="B81" i="3"/>
  <c r="A81" i="3"/>
  <c r="F80" i="3"/>
  <c r="B80" i="3"/>
  <c r="A80" i="3"/>
  <c r="F79" i="3"/>
  <c r="B79" i="3"/>
  <c r="A79" i="3"/>
  <c r="F78" i="3"/>
  <c r="B78" i="3"/>
  <c r="A78" i="3"/>
  <c r="F77" i="3"/>
  <c r="B77" i="3"/>
  <c r="A77" i="3"/>
  <c r="F76" i="3"/>
  <c r="B76" i="3"/>
  <c r="A76" i="3"/>
  <c r="F75" i="3"/>
  <c r="B75" i="3"/>
  <c r="A75" i="3"/>
  <c r="F74" i="3"/>
  <c r="B74" i="3"/>
  <c r="A74" i="3"/>
  <c r="F73" i="3"/>
  <c r="B73" i="3"/>
  <c r="A73" i="3"/>
  <c r="F72" i="3"/>
  <c r="B72" i="3"/>
  <c r="A72" i="3"/>
  <c r="F71" i="3"/>
  <c r="B71" i="3"/>
  <c r="A71" i="3"/>
  <c r="F70" i="3"/>
  <c r="B70" i="3"/>
  <c r="A70" i="3"/>
  <c r="F69" i="3"/>
  <c r="B69" i="3"/>
  <c r="A69" i="3"/>
  <c r="F68" i="3"/>
  <c r="B68" i="3"/>
  <c r="A68" i="3"/>
  <c r="F67" i="3"/>
  <c r="B67" i="3"/>
  <c r="A67" i="3"/>
  <c r="F66" i="3"/>
  <c r="B66" i="3"/>
  <c r="A66" i="3"/>
  <c r="F65" i="3"/>
  <c r="B65" i="3"/>
  <c r="A65" i="3"/>
  <c r="F64" i="3"/>
  <c r="B64" i="3"/>
  <c r="A64" i="3"/>
  <c r="F63" i="3"/>
  <c r="B63" i="3"/>
  <c r="A63" i="3"/>
  <c r="F62" i="3"/>
  <c r="B62" i="3"/>
  <c r="A62" i="3"/>
  <c r="F61" i="3"/>
  <c r="B61" i="3"/>
  <c r="A61" i="3"/>
  <c r="F60" i="3"/>
  <c r="B60" i="3"/>
  <c r="A60" i="3"/>
  <c r="F59" i="3"/>
  <c r="B59" i="3"/>
  <c r="A59" i="3"/>
  <c r="F58" i="3"/>
  <c r="B58" i="3"/>
  <c r="A58" i="3"/>
  <c r="F57" i="3"/>
  <c r="B57" i="3"/>
  <c r="A57" i="3"/>
  <c r="F56" i="3"/>
  <c r="B56" i="3"/>
  <c r="A56" i="3"/>
  <c r="F55" i="3"/>
  <c r="B55" i="3"/>
  <c r="A55" i="3"/>
  <c r="F54" i="3"/>
  <c r="B54" i="3"/>
  <c r="A54" i="3"/>
  <c r="F53" i="3"/>
  <c r="B53" i="3"/>
  <c r="A53" i="3"/>
  <c r="F52" i="3"/>
  <c r="B52" i="3"/>
  <c r="A52" i="3"/>
  <c r="F51" i="3"/>
  <c r="B51" i="3"/>
  <c r="A51" i="3"/>
  <c r="F50" i="3"/>
  <c r="B50" i="3"/>
  <c r="A50" i="3"/>
  <c r="F49" i="3"/>
  <c r="B49" i="3"/>
  <c r="A49" i="3"/>
  <c r="F48" i="3"/>
  <c r="B48" i="3"/>
  <c r="A48" i="3"/>
  <c r="F47" i="3"/>
  <c r="B47" i="3"/>
  <c r="A47" i="3"/>
  <c r="F46" i="3"/>
  <c r="B46" i="3"/>
  <c r="A46" i="3"/>
  <c r="F45" i="3"/>
  <c r="B45" i="3"/>
  <c r="A45" i="3"/>
  <c r="F44" i="3"/>
  <c r="B44" i="3"/>
  <c r="A44" i="3"/>
  <c r="F43" i="3"/>
  <c r="B43" i="3"/>
  <c r="A43" i="3"/>
  <c r="F42" i="3"/>
  <c r="B42" i="3"/>
  <c r="A42" i="3"/>
  <c r="F41" i="3"/>
  <c r="B41" i="3"/>
  <c r="A41" i="3"/>
  <c r="F40" i="3"/>
  <c r="B40" i="3"/>
  <c r="A40" i="3"/>
  <c r="F39" i="3"/>
  <c r="B39" i="3"/>
  <c r="A39" i="3"/>
  <c r="F38" i="3"/>
  <c r="B38" i="3"/>
  <c r="A38" i="3"/>
  <c r="F37" i="3"/>
  <c r="B37" i="3"/>
  <c r="A37" i="3"/>
  <c r="F36" i="3"/>
  <c r="B36" i="3"/>
  <c r="A36" i="3"/>
  <c r="F35" i="3"/>
  <c r="B35" i="3"/>
  <c r="A35" i="3"/>
  <c r="F34" i="3"/>
  <c r="B34" i="3"/>
  <c r="A34" i="3"/>
  <c r="F33" i="3"/>
  <c r="B33" i="3"/>
  <c r="A33" i="3"/>
  <c r="F32" i="3"/>
  <c r="B32" i="3"/>
  <c r="A32" i="3"/>
  <c r="F31" i="3"/>
  <c r="B31" i="3"/>
  <c r="A31" i="3"/>
  <c r="F30" i="3"/>
  <c r="B30" i="3"/>
  <c r="A30" i="3"/>
  <c r="F29" i="3"/>
  <c r="B29" i="3"/>
  <c r="A29" i="3"/>
  <c r="F28" i="3"/>
  <c r="B28" i="3"/>
  <c r="A28" i="3"/>
  <c r="F27" i="3"/>
  <c r="B27" i="3"/>
  <c r="A27" i="3"/>
  <c r="F26" i="3"/>
  <c r="B26" i="3"/>
  <c r="A26" i="3"/>
  <c r="F25" i="3"/>
  <c r="B25" i="3"/>
  <c r="A25" i="3"/>
  <c r="F24" i="3"/>
  <c r="B24" i="3"/>
  <c r="A24" i="3"/>
  <c r="F23" i="3"/>
  <c r="B23" i="3"/>
  <c r="A23" i="3"/>
  <c r="F22" i="3"/>
  <c r="B22" i="3"/>
  <c r="A22" i="3"/>
  <c r="F21" i="3"/>
  <c r="B21" i="3"/>
  <c r="A21" i="3"/>
  <c r="F20" i="3"/>
  <c r="B20" i="3"/>
  <c r="A20" i="3"/>
  <c r="F19" i="3"/>
  <c r="B19" i="3"/>
  <c r="A19" i="3"/>
  <c r="F18" i="3"/>
  <c r="B18" i="3"/>
  <c r="A18" i="3"/>
  <c r="F17" i="3"/>
  <c r="B17" i="3"/>
  <c r="A17" i="3"/>
  <c r="F16" i="3"/>
  <c r="B16" i="3"/>
  <c r="A16" i="3"/>
  <c r="F15" i="3"/>
  <c r="B15" i="3"/>
  <c r="A15" i="3"/>
  <c r="F14" i="3"/>
  <c r="B14" i="3"/>
  <c r="A14" i="3"/>
  <c r="F13" i="3"/>
  <c r="B13" i="3"/>
  <c r="A13" i="3"/>
  <c r="F12" i="3"/>
  <c r="B12" i="3"/>
  <c r="A12" i="3"/>
  <c r="F11" i="3"/>
  <c r="B11" i="3"/>
  <c r="A11" i="3"/>
  <c r="F10" i="3"/>
  <c r="B10" i="3"/>
  <c r="A10" i="3"/>
  <c r="F9" i="3"/>
  <c r="B9" i="3"/>
  <c r="A9" i="3"/>
  <c r="F8" i="3"/>
  <c r="B8" i="3"/>
  <c r="A8" i="3"/>
  <c r="F7" i="3"/>
  <c r="B7" i="3"/>
  <c r="A7" i="3"/>
  <c r="F6" i="3"/>
  <c r="B6" i="3"/>
  <c r="A6" i="3"/>
  <c r="F5" i="3"/>
  <c r="B5" i="3"/>
  <c r="A5" i="3"/>
  <c r="F4" i="3"/>
  <c r="B4" i="3"/>
  <c r="A4" i="3"/>
  <c r="F3" i="3"/>
  <c r="B3" i="3"/>
  <c r="A3" i="3"/>
  <c r="F2" i="3"/>
  <c r="B2" i="3"/>
  <c r="A2" i="3"/>
  <c r="G43" i="6" s="1"/>
  <c r="E35" i="2"/>
  <c r="E34" i="2"/>
  <c r="E36" i="2" l="1"/>
  <c r="B17" i="6"/>
  <c r="F14" i="6"/>
  <c r="B19" i="6"/>
  <c r="F33" i="6"/>
  <c r="G38" i="6"/>
  <c r="F23" i="6"/>
  <c r="F28" i="6"/>
  <c r="F39" i="6"/>
  <c r="G17" i="6"/>
  <c r="B15" i="6"/>
  <c r="F15" i="6"/>
  <c r="F19" i="6"/>
  <c r="G28" i="6"/>
  <c r="F34" i="6"/>
  <c r="G39" i="6"/>
  <c r="B20" i="6"/>
  <c r="F24" i="6"/>
  <c r="F29" i="6"/>
  <c r="G23" i="6"/>
  <c r="B16" i="6"/>
  <c r="F40" i="6"/>
  <c r="A26" i="6"/>
  <c r="F35" i="6"/>
  <c r="G40" i="6"/>
  <c r="G16" i="6"/>
  <c r="G20" i="6"/>
  <c r="B26" i="6"/>
  <c r="F30" i="6"/>
  <c r="B21" i="6"/>
  <c r="C26" i="6"/>
  <c r="F41" i="6"/>
  <c r="D26" i="6"/>
  <c r="F36" i="6"/>
  <c r="G41" i="6"/>
  <c r="B9" i="6"/>
  <c r="F21" i="6"/>
  <c r="E26" i="6"/>
  <c r="F31" i="6"/>
  <c r="F26" i="6"/>
  <c r="F42" i="6"/>
  <c r="B22" i="6"/>
  <c r="G42" i="6"/>
  <c r="G26" i="6"/>
  <c r="F37" i="6"/>
  <c r="B14" i="6"/>
  <c r="F22" i="6"/>
  <c r="G32" i="6"/>
  <c r="F43" i="6"/>
  <c r="B18" i="6"/>
  <c r="F27" i="6"/>
  <c r="G14" i="6"/>
  <c r="G18" i="6"/>
  <c r="G22" i="6"/>
  <c r="G27" i="6"/>
</calcChain>
</file>

<file path=xl/sharedStrings.xml><?xml version="1.0" encoding="utf-8"?>
<sst xmlns="http://schemas.openxmlformats.org/spreadsheetml/2006/main" count="123" uniqueCount="79">
  <si>
    <t>Week Commencing:</t>
  </si>
  <si>
    <t>Contracted Hours:</t>
  </si>
  <si>
    <t>Notes for the week:</t>
  </si>
  <si>
    <t>Day</t>
  </si>
  <si>
    <t>Activity</t>
  </si>
  <si>
    <t>Description / Comment</t>
  </si>
  <si>
    <t>Time Allocated (hrs)</t>
  </si>
  <si>
    <t>Time Spent (hrs)</t>
  </si>
  <si>
    <t>Monday</t>
  </si>
  <si>
    <t>Tuesday</t>
  </si>
  <si>
    <t>Wednesday</t>
  </si>
  <si>
    <t>Thursday</t>
  </si>
  <si>
    <t>Friday</t>
  </si>
  <si>
    <t>Saturday</t>
  </si>
  <si>
    <t>Sunday</t>
  </si>
  <si>
    <t>Weekly Total Time Spent</t>
  </si>
  <si>
    <t>Contracted Hours</t>
  </si>
  <si>
    <t>Hours Remaining</t>
  </si>
  <si>
    <t>Activities</t>
  </si>
  <si>
    <t>Shopping</t>
  </si>
  <si>
    <t>Cleaning</t>
  </si>
  <si>
    <t>Well-being</t>
  </si>
  <si>
    <t>Budgeting</t>
  </si>
  <si>
    <t>Admin</t>
  </si>
  <si>
    <t>Social Inclusion</t>
  </si>
  <si>
    <t>Personal Care</t>
  </si>
  <si>
    <t>Exercise</t>
  </si>
  <si>
    <t>Other</t>
  </si>
  <si>
    <t>Service User</t>
  </si>
  <si>
    <t>Sheet Name</t>
  </si>
  <si>
    <t>Week Commencing</t>
  </si>
  <si>
    <t>Total Hours Delivered</t>
  </si>
  <si>
    <t>Notes for the Week</t>
  </si>
  <si>
    <t>Missed/Refused (count)</t>
  </si>
  <si>
    <t>Count: Shopping</t>
  </si>
  <si>
    <t>Count: Cleaning</t>
  </si>
  <si>
    <t>Count: Well-being</t>
  </si>
  <si>
    <t>Count: Budgeting</t>
  </si>
  <si>
    <t>Count: Admin</t>
  </si>
  <si>
    <t>Count: Social Inclusion</t>
  </si>
  <si>
    <t>Count: Personal Care</t>
  </si>
  <si>
    <t>Count: Exercise</t>
  </si>
  <si>
    <t>Count: Other</t>
  </si>
  <si>
    <t>Mon</t>
  </si>
  <si>
    <t>Tue</t>
  </si>
  <si>
    <t>Wed</t>
  </si>
  <si>
    <t>Thu</t>
  </si>
  <si>
    <t>Fri</t>
  </si>
  <si>
    <t>Sat</t>
  </si>
  <si>
    <t>Sun</t>
  </si>
  <si>
    <t>Commissioner Summary (auto-filled)</t>
  </si>
  <si>
    <t>Source sheet name:</t>
  </si>
  <si>
    <t>Service User:</t>
  </si>
  <si>
    <t>Total Hours Delivered:</t>
  </si>
  <si>
    <t>Hours Remaining:</t>
  </si>
  <si>
    <t>Activity Breakdown</t>
  </si>
  <si>
    <t>Manager Email</t>
  </si>
  <si>
    <t>Team Email</t>
  </si>
  <si>
    <t>Example Service User</t>
  </si>
  <si>
    <t>Master Template</t>
  </si>
  <si>
    <t>manager@example.org</t>
  </si>
  <si>
    <t>team@example.org</t>
  </si>
  <si>
    <t>Multi-User Dashboard</t>
  </si>
  <si>
    <t>All</t>
  </si>
  <si>
    <t>KPIs</t>
  </si>
  <si>
    <t>Total Contracted Hours</t>
  </si>
  <si>
    <t>Total Hours Remaining</t>
  </si>
  <si>
    <t>Average Utilisation %</t>
  </si>
  <si>
    <t>Activity Category Totals</t>
  </si>
  <si>
    <t>Delivered</t>
  </si>
  <si>
    <t>Contracted</t>
  </si>
  <si>
    <t>ASMAH Sadiq</t>
  </si>
  <si>
    <t>Address:1 Trent Street, Derby, DE24, 8RY</t>
  </si>
  <si>
    <t>Cleaning private area</t>
  </si>
  <si>
    <t>Go out with staff to the café</t>
  </si>
  <si>
    <t>Go for swimming</t>
  </si>
  <si>
    <t>Cooking</t>
  </si>
  <si>
    <t>Meal preparation</t>
  </si>
  <si>
    <t>Help to manage finance and benefit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</si>
</sst>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0" xfId="0" applyFont="1"/>
    <xf numFmtId="0" fontId="2" fillId="0" borderId="0" xfId="0" applyFont="1"/>
    <xf numFmtId="2" fontId="0" fillId="0" borderId="0" xfId="0" applyNumberFormat="1"/>
    <xf numFmtId="0" fontId="2" fillId="3" borderId="0" xfId="0" applyFont="1" applyFill="1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5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Activities (count)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Dashboard!$B$13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Dashboard!$A$14:$A$22</c:f>
              <c:strCache>
                <c:ptCount val="9"/>
                <c:pt idx="0">
                  <c:v>Shopping</c:v>
                </c:pt>
                <c:pt idx="1">
                  <c:v>Cleaning</c:v>
                </c:pt>
                <c:pt idx="2">
                  <c:v>Well-being</c:v>
                </c:pt>
                <c:pt idx="3">
                  <c:v>Budgeting</c:v>
                </c:pt>
                <c:pt idx="4">
                  <c:v>Admin</c:v>
                </c:pt>
                <c:pt idx="5">
                  <c:v>Social Inclusion</c:v>
                </c:pt>
                <c:pt idx="6">
                  <c:v>Personal Care</c:v>
                </c:pt>
                <c:pt idx="7">
                  <c:v>Exercise</c:v>
                </c:pt>
                <c:pt idx="8">
                  <c:v>Other</c:v>
                </c:pt>
              </c:strCache>
            </c:strRef>
          </c:cat>
          <c:val>
            <c:numRef>
              <c:f>Dashboard!$B$14:$B$22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6-4C91-8162-AF058B861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Delivered vs Contracted by Service User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Delivered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Dashboard!$E$14:$E$44</c:f>
              <c:strCache>
                <c:ptCount val="30"/>
                <c:pt idx="0">
                  <c:v>Example Service User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Fri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strCache>
            </c:strRef>
          </c:cat>
          <c:val>
            <c:numRef>
              <c:f>Dashboard!$F$14:$F$44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8-43EB-950C-A6AE4954D0A1}"/>
            </c:ext>
          </c:extLst>
        </c:ser>
        <c:ser>
          <c:idx val="1"/>
          <c:order val="1"/>
          <c:tx>
            <c:strRef>
              <c:f>Dashboard!$G$13</c:f>
              <c:strCache>
                <c:ptCount val="1"/>
                <c:pt idx="0">
                  <c:v>Contracted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Dashboard!$E$14:$E$44</c:f>
              <c:strCache>
                <c:ptCount val="30"/>
                <c:pt idx="0">
                  <c:v>Example Service User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Fri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strCache>
            </c:strRef>
          </c:cat>
          <c:val>
            <c:numRef>
              <c:f>Dashboard!$G$14:$G$44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8-43EB-950C-A6AE4954D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Service User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Hours (All/Selected User)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Dashboard!$A$25</c:f>
              <c:strCache>
                <c:ptCount val="1"/>
                <c:pt idx="0">
                  <c:v>Mon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35-4FD8-999F-079A085DBCE7}"/>
            </c:ext>
          </c:extLst>
        </c:ser>
        <c:ser>
          <c:idx val="1"/>
          <c:order val="1"/>
          <c:tx>
            <c:strRef>
              <c:f>Dashboard!$B$25</c:f>
              <c:strCache>
                <c:ptCount val="1"/>
                <c:pt idx="0">
                  <c:v>Tue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Dashboard!$B$26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35-4FD8-999F-079A085DBCE7}"/>
            </c:ext>
          </c:extLst>
        </c:ser>
        <c:ser>
          <c:idx val="2"/>
          <c:order val="2"/>
          <c:tx>
            <c:strRef>
              <c:f>Dashboard!$C$25</c:f>
              <c:strCache>
                <c:ptCount val="1"/>
                <c:pt idx="0">
                  <c:v>Wed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Dashboard!$C$26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35-4FD8-999F-079A085DBCE7}"/>
            </c:ext>
          </c:extLst>
        </c:ser>
        <c:ser>
          <c:idx val="3"/>
          <c:order val="3"/>
          <c:tx>
            <c:strRef>
              <c:f>Dashboard!$D$25</c:f>
              <c:strCache>
                <c:ptCount val="1"/>
                <c:pt idx="0">
                  <c:v>Thu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Dashboard!$D$26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835-4FD8-999F-079A085DBCE7}"/>
            </c:ext>
          </c:extLst>
        </c:ser>
        <c:ser>
          <c:idx val="4"/>
          <c:order val="4"/>
          <c:tx>
            <c:strRef>
              <c:f>Dashboard!$E$25</c:f>
              <c:strCache>
                <c:ptCount val="1"/>
                <c:pt idx="0">
                  <c:v>Fri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835-4FD8-999F-079A085DBCE7}"/>
            </c:ext>
          </c:extLst>
        </c:ser>
        <c:ser>
          <c:idx val="5"/>
          <c:order val="5"/>
          <c:tx>
            <c:strRef>
              <c:f>Dashboard!$F$25</c:f>
              <c:strCache>
                <c:ptCount val="1"/>
                <c:pt idx="0">
                  <c:v>Sat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835-4FD8-999F-079A085DBCE7}"/>
            </c:ext>
          </c:extLst>
        </c:ser>
        <c:ser>
          <c:idx val="6"/>
          <c:order val="6"/>
          <c:tx>
            <c:strRef>
              <c:f>Dashboard!$G$25</c:f>
              <c:strCache>
                <c:ptCount val="1"/>
                <c:pt idx="0">
                  <c:v>Sun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Dashboard!$G$26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835-4FD8-999F-079A085DB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47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47</xdr:row>
      <xdr:rowOff>0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9" workbookViewId="0">
      <selection activeCell="E36" sqref="E36"/>
    </sheetView>
  </sheetViews>
  <sheetFormatPr defaultRowHeight="15" x14ac:dyDescent="0.25"/>
  <cols>
    <col min="1" max="2" width="25" customWidth="1"/>
    <col min="3" max="3" width="25" style="12" customWidth="1"/>
    <col min="4" max="5" width="25" customWidth="1"/>
  </cols>
  <sheetData>
    <row r="1" spans="1:5" x14ac:dyDescent="0.25">
      <c r="A1" t="s">
        <v>71</v>
      </c>
      <c r="D1" t="s">
        <v>0</v>
      </c>
      <c r="E1" s="10">
        <v>46091</v>
      </c>
    </row>
    <row r="2" spans="1:5" x14ac:dyDescent="0.25">
      <c r="A2" t="s">
        <v>72</v>
      </c>
    </row>
    <row r="3" spans="1:5" x14ac:dyDescent="0.25">
      <c r="A3" t="s">
        <v>1</v>
      </c>
      <c r="B3">
        <v>14</v>
      </c>
    </row>
    <row r="4" spans="1:5" x14ac:dyDescent="0.25">
      <c r="A4" t="s">
        <v>2</v>
      </c>
      <c r="C4" s="14"/>
      <c r="D4" s="14"/>
      <c r="E4" s="14"/>
    </row>
    <row r="5" spans="1:5" x14ac:dyDescent="0.25">
      <c r="A5" s="1" t="s">
        <v>3</v>
      </c>
      <c r="B5" s="1" t="s">
        <v>4</v>
      </c>
      <c r="C5" s="13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2" t="s">
        <v>22</v>
      </c>
      <c r="C6" s="11" t="s">
        <v>73</v>
      </c>
      <c r="D6" s="2">
        <v>1</v>
      </c>
      <c r="E6" s="2">
        <v>1.5</v>
      </c>
    </row>
    <row r="7" spans="1:5" ht="30" x14ac:dyDescent="0.25">
      <c r="A7" s="2"/>
      <c r="B7" s="2" t="s">
        <v>21</v>
      </c>
      <c r="C7" s="11" t="s">
        <v>78</v>
      </c>
      <c r="D7" s="2">
        <v>1</v>
      </c>
      <c r="E7" s="2">
        <v>1</v>
      </c>
    </row>
    <row r="8" spans="1:5" x14ac:dyDescent="0.25">
      <c r="A8" s="2"/>
      <c r="B8" s="2" t="s">
        <v>27</v>
      </c>
      <c r="C8" s="11" t="s">
        <v>76</v>
      </c>
      <c r="D8" s="2">
        <v>0.5</v>
      </c>
      <c r="E8" s="2">
        <v>0.45</v>
      </c>
    </row>
    <row r="9" spans="1:5" x14ac:dyDescent="0.25">
      <c r="A9" s="2"/>
      <c r="B9" s="2"/>
      <c r="C9" s="11"/>
      <c r="D9" s="2"/>
      <c r="E9" s="2"/>
    </row>
    <row r="10" spans="1:5" ht="30" x14ac:dyDescent="0.25">
      <c r="A10" s="2" t="s">
        <v>9</v>
      </c>
      <c r="B10" s="2" t="s">
        <v>26</v>
      </c>
      <c r="C10" s="11" t="s">
        <v>74</v>
      </c>
      <c r="D10" s="2">
        <v>1</v>
      </c>
      <c r="E10" s="2">
        <v>2</v>
      </c>
    </row>
    <row r="11" spans="1:5" x14ac:dyDescent="0.25">
      <c r="A11" s="2"/>
      <c r="B11" s="2" t="s">
        <v>24</v>
      </c>
      <c r="C11" s="11" t="s">
        <v>75</v>
      </c>
      <c r="D11" s="2">
        <v>1</v>
      </c>
      <c r="E11" s="2">
        <v>1.5</v>
      </c>
    </row>
    <row r="12" spans="1:5" x14ac:dyDescent="0.25">
      <c r="A12" s="2"/>
      <c r="B12" s="2" t="s">
        <v>27</v>
      </c>
      <c r="C12" s="11" t="s">
        <v>77</v>
      </c>
      <c r="D12" s="2"/>
      <c r="E12" s="2"/>
    </row>
    <row r="13" spans="1:5" x14ac:dyDescent="0.25">
      <c r="A13" s="2"/>
      <c r="B13" s="2"/>
      <c r="C13" s="11"/>
      <c r="D13" s="2"/>
      <c r="E13" s="2"/>
    </row>
    <row r="14" spans="1:5" x14ac:dyDescent="0.25">
      <c r="A14" s="2" t="s">
        <v>10</v>
      </c>
      <c r="B14" s="2" t="s">
        <v>27</v>
      </c>
      <c r="C14" s="11"/>
      <c r="D14" s="2"/>
      <c r="E14" s="2"/>
    </row>
    <row r="15" spans="1:5" x14ac:dyDescent="0.25">
      <c r="A15" s="2"/>
      <c r="B15" s="2"/>
      <c r="C15" s="11"/>
      <c r="D15" s="2"/>
      <c r="E15" s="2"/>
    </row>
    <row r="16" spans="1:5" x14ac:dyDescent="0.25">
      <c r="A16" s="2"/>
      <c r="B16" s="2"/>
      <c r="C16" s="11"/>
      <c r="D16" s="2"/>
      <c r="E16" s="2"/>
    </row>
    <row r="17" spans="1:5" x14ac:dyDescent="0.25">
      <c r="A17" s="2"/>
      <c r="B17" s="2"/>
      <c r="C17" s="11"/>
      <c r="D17" s="2"/>
      <c r="E17" s="2"/>
    </row>
    <row r="18" spans="1:5" x14ac:dyDescent="0.25">
      <c r="A18" s="2" t="s">
        <v>11</v>
      </c>
      <c r="B18" s="2"/>
      <c r="C18" s="11"/>
      <c r="D18" s="2"/>
      <c r="E18" s="2"/>
    </row>
    <row r="19" spans="1:5" x14ac:dyDescent="0.25">
      <c r="A19" s="2"/>
      <c r="B19" s="2"/>
      <c r="C19" s="11"/>
      <c r="D19" s="2"/>
      <c r="E19" s="2"/>
    </row>
    <row r="20" spans="1:5" x14ac:dyDescent="0.25">
      <c r="A20" s="2"/>
      <c r="B20" s="2"/>
      <c r="C20" s="11"/>
      <c r="D20" s="2"/>
      <c r="E20" s="2"/>
    </row>
    <row r="21" spans="1:5" x14ac:dyDescent="0.25">
      <c r="A21" s="2"/>
      <c r="B21" s="2"/>
      <c r="C21" s="11"/>
      <c r="D21" s="2"/>
      <c r="E21" s="2"/>
    </row>
    <row r="22" spans="1:5" x14ac:dyDescent="0.25">
      <c r="A22" s="2" t="s">
        <v>12</v>
      </c>
      <c r="B22" s="2"/>
      <c r="C22" s="11"/>
      <c r="D22" s="2"/>
      <c r="E22" s="2"/>
    </row>
    <row r="23" spans="1:5" x14ac:dyDescent="0.25">
      <c r="A23" s="2"/>
      <c r="B23" s="2"/>
      <c r="C23" s="11"/>
      <c r="D23" s="2"/>
      <c r="E23" s="2"/>
    </row>
    <row r="24" spans="1:5" x14ac:dyDescent="0.25">
      <c r="A24" s="2"/>
      <c r="B24" s="2"/>
      <c r="C24" s="11"/>
      <c r="D24" s="2"/>
      <c r="E24" s="2"/>
    </row>
    <row r="25" spans="1:5" x14ac:dyDescent="0.25">
      <c r="A25" s="2"/>
      <c r="B25" s="2"/>
      <c r="C25" s="11"/>
      <c r="D25" s="2"/>
      <c r="E25" s="2"/>
    </row>
    <row r="26" spans="1:5" x14ac:dyDescent="0.25">
      <c r="A26" s="2" t="s">
        <v>13</v>
      </c>
      <c r="B26" s="2"/>
      <c r="C26" s="11"/>
      <c r="D26" s="2"/>
      <c r="E26" s="2"/>
    </row>
    <row r="27" spans="1:5" x14ac:dyDescent="0.25">
      <c r="A27" s="2"/>
      <c r="B27" s="2"/>
      <c r="C27" s="11"/>
      <c r="D27" s="2"/>
      <c r="E27" s="2"/>
    </row>
    <row r="28" spans="1:5" x14ac:dyDescent="0.25">
      <c r="A28" s="2"/>
      <c r="B28" s="2"/>
      <c r="C28" s="11"/>
      <c r="D28" s="2"/>
      <c r="E28" s="2"/>
    </row>
    <row r="29" spans="1:5" x14ac:dyDescent="0.25">
      <c r="A29" s="2"/>
      <c r="B29" s="2"/>
      <c r="C29" s="11"/>
      <c r="D29" s="2"/>
      <c r="E29" s="2"/>
    </row>
    <row r="30" spans="1:5" x14ac:dyDescent="0.25">
      <c r="A30" s="2" t="s">
        <v>14</v>
      </c>
      <c r="B30" s="2"/>
      <c r="C30" s="11"/>
      <c r="D30" s="2"/>
      <c r="E30" s="2"/>
    </row>
    <row r="31" spans="1:5" x14ac:dyDescent="0.25">
      <c r="A31" s="2"/>
      <c r="B31" s="2"/>
      <c r="C31" s="11"/>
      <c r="D31" s="2"/>
      <c r="E31" s="2"/>
    </row>
    <row r="32" spans="1:5" x14ac:dyDescent="0.25">
      <c r="A32" s="2"/>
      <c r="B32" s="2"/>
      <c r="C32" s="11"/>
      <c r="D32" s="2"/>
      <c r="E32" s="2"/>
    </row>
    <row r="33" spans="1:5" x14ac:dyDescent="0.25">
      <c r="A33" s="2"/>
      <c r="B33" s="2"/>
      <c r="C33" s="11"/>
      <c r="D33" s="2"/>
      <c r="E33" s="2"/>
    </row>
    <row r="34" spans="1:5" x14ac:dyDescent="0.25">
      <c r="A34" s="2" t="s">
        <v>15</v>
      </c>
      <c r="B34" s="2"/>
      <c r="C34" s="11"/>
      <c r="D34" s="2"/>
      <c r="E34" s="2">
        <f>SUM(E6:E33)</f>
        <v>6.45</v>
      </c>
    </row>
    <row r="35" spans="1:5" x14ac:dyDescent="0.25">
      <c r="A35" s="2" t="s">
        <v>16</v>
      </c>
      <c r="B35" s="2"/>
      <c r="C35" s="11"/>
      <c r="D35" s="2"/>
      <c r="E35" s="2">
        <f>B3</f>
        <v>14</v>
      </c>
    </row>
    <row r="36" spans="1:5" x14ac:dyDescent="0.25">
      <c r="A36" s="2" t="s">
        <v>17</v>
      </c>
      <c r="B36" s="2"/>
      <c r="C36" s="11"/>
      <c r="D36" s="2"/>
      <c r="E36" s="2">
        <f>E35-E34</f>
        <v>7.55</v>
      </c>
    </row>
  </sheetData>
  <mergeCells count="1">
    <mergeCell ref="C4:E4"/>
  </mergeCells>
  <conditionalFormatting sqref="E6">
    <cfRule type="cellIs" dxfId="14" priority="1" operator="greaterThan">
      <formula>D6</formula>
    </cfRule>
    <cfRule type="cellIs" dxfId="13" priority="2" operator="lessThan">
      <formula>D6</formula>
    </cfRule>
    <cfRule type="cellIs" dxfId="12" priority="3" operator="equal">
      <formula>D6</formula>
    </cfRule>
  </conditionalFormatting>
  <conditionalFormatting sqref="E10">
    <cfRule type="cellIs" dxfId="11" priority="4" operator="greaterThan">
      <formula>D10</formula>
    </cfRule>
    <cfRule type="cellIs" dxfId="10" priority="5" operator="lessThan">
      <formula>D10</formula>
    </cfRule>
    <cfRule type="cellIs" dxfId="9" priority="6" operator="equal">
      <formula>D10</formula>
    </cfRule>
  </conditionalFormatting>
  <conditionalFormatting sqref="E14">
    <cfRule type="cellIs" dxfId="8" priority="7" operator="greaterThan">
      <formula>D14</formula>
    </cfRule>
    <cfRule type="cellIs" dxfId="7" priority="8" operator="lessThan">
      <formula>D14</formula>
    </cfRule>
    <cfRule type="cellIs" dxfId="6" priority="9" operator="equal">
      <formula>D14</formula>
    </cfRule>
  </conditionalFormatting>
  <conditionalFormatting sqref="E18">
    <cfRule type="cellIs" dxfId="5" priority="10" operator="greaterThan">
      <formula>D18</formula>
    </cfRule>
    <cfRule type="cellIs" dxfId="4" priority="11" operator="lessThan">
      <formula>D18</formula>
    </cfRule>
    <cfRule type="cellIs" dxfId="3" priority="12" operator="equal">
      <formula>D18</formula>
    </cfRule>
  </conditionalFormatting>
  <conditionalFormatting sqref="E22">
    <cfRule type="cellIs" dxfId="2" priority="13" operator="greaterThan">
      <formula>D22</formula>
    </cfRule>
    <cfRule type="cellIs" dxfId="1" priority="14" operator="lessThan">
      <formula>D22</formula>
    </cfRule>
    <cfRule type="cellIs" dxfId="0" priority="15" operator="equal">
      <formula>D22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087D85-F069-4D66-825D-F6BF9AC95758}">
          <x14:formula1>
            <xm:f>Lists!A2:A10</xm:f>
          </x14:formula1>
          <xm:sqref>B6:B33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7" width="22" customWidth="1"/>
  </cols>
  <sheetData>
    <row r="1" spans="1:24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16</v>
      </c>
      <c r="F1" s="3" t="s">
        <v>17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</row>
    <row r="2" spans="1:24" x14ac:dyDescent="0.25">
      <c r="A2" t="str">
        <f>IFERROR(INDEX(Config!$A:$A,ROW()),)</f>
        <v>Example Service User</v>
      </c>
      <c r="B2" t="str">
        <f>IFERROR(INDEX(Config!$B:$B,ROW()),)</f>
        <v>Master Template</v>
      </c>
      <c r="F2">
        <f t="shared" ref="F2:F33" si="0">IFERROR(E2-D2,"")</f>
        <v>0</v>
      </c>
    </row>
    <row r="3" spans="1:24" x14ac:dyDescent="0.25">
      <c r="A3">
        <f>IFERROR(INDEX(Config!$A:$A,ROW()),)</f>
        <v>0</v>
      </c>
      <c r="B3">
        <f>IFERROR(INDEX(Config!$B:$B,ROW()),)</f>
        <v>0</v>
      </c>
      <c r="F3">
        <f t="shared" si="0"/>
        <v>0</v>
      </c>
    </row>
    <row r="4" spans="1:24" x14ac:dyDescent="0.25">
      <c r="A4">
        <f>IFERROR(INDEX(Config!$A:$A,ROW()),)</f>
        <v>0</v>
      </c>
      <c r="B4">
        <f>IFERROR(INDEX(Config!$B:$B,ROW()),)</f>
        <v>0</v>
      </c>
      <c r="F4">
        <f t="shared" si="0"/>
        <v>0</v>
      </c>
    </row>
    <row r="5" spans="1:24" x14ac:dyDescent="0.25">
      <c r="A5">
        <f>IFERROR(INDEX(Config!$A:$A,ROW()),)</f>
        <v>0</v>
      </c>
      <c r="B5">
        <f>IFERROR(INDEX(Config!$B:$B,ROW()),)</f>
        <v>0</v>
      </c>
      <c r="F5">
        <f t="shared" si="0"/>
        <v>0</v>
      </c>
    </row>
    <row r="6" spans="1:24" x14ac:dyDescent="0.25">
      <c r="A6">
        <f>IFERROR(INDEX(Config!$A:$A,ROW()),)</f>
        <v>0</v>
      </c>
      <c r="B6">
        <f>IFERROR(INDEX(Config!$B:$B,ROW()),)</f>
        <v>0</v>
      </c>
      <c r="F6">
        <f t="shared" si="0"/>
        <v>0</v>
      </c>
    </row>
    <row r="7" spans="1:24" x14ac:dyDescent="0.25">
      <c r="A7">
        <f>IFERROR(INDEX(Config!$A:$A,ROW()),)</f>
        <v>0</v>
      </c>
      <c r="B7">
        <f>IFERROR(INDEX(Config!$B:$B,ROW()),)</f>
        <v>0</v>
      </c>
      <c r="F7">
        <f t="shared" si="0"/>
        <v>0</v>
      </c>
    </row>
    <row r="8" spans="1:24" x14ac:dyDescent="0.25">
      <c r="A8">
        <f>IFERROR(INDEX(Config!$A:$A,ROW()),)</f>
        <v>0</v>
      </c>
      <c r="B8">
        <f>IFERROR(INDEX(Config!$B:$B,ROW()),)</f>
        <v>0</v>
      </c>
      <c r="F8">
        <f t="shared" si="0"/>
        <v>0</v>
      </c>
    </row>
    <row r="9" spans="1:24" x14ac:dyDescent="0.25">
      <c r="A9">
        <f>IFERROR(INDEX(Config!$A:$A,ROW()),)</f>
        <v>0</v>
      </c>
      <c r="B9">
        <f>IFERROR(INDEX(Config!$B:$B,ROW()),)</f>
        <v>0</v>
      </c>
      <c r="F9">
        <f t="shared" si="0"/>
        <v>0</v>
      </c>
    </row>
    <row r="10" spans="1:24" x14ac:dyDescent="0.25">
      <c r="A10">
        <f>IFERROR(INDEX(Config!$A:$A,ROW()),)</f>
        <v>0</v>
      </c>
      <c r="B10">
        <f>IFERROR(INDEX(Config!$B:$B,ROW()),)</f>
        <v>0</v>
      </c>
      <c r="F10">
        <f t="shared" si="0"/>
        <v>0</v>
      </c>
    </row>
    <row r="11" spans="1:24" x14ac:dyDescent="0.25">
      <c r="A11">
        <f>IFERROR(INDEX(Config!$A:$A,ROW()),)</f>
        <v>0</v>
      </c>
      <c r="B11">
        <f>IFERROR(INDEX(Config!$B:$B,ROW()),)</f>
        <v>0</v>
      </c>
      <c r="F11">
        <f t="shared" si="0"/>
        <v>0</v>
      </c>
    </row>
    <row r="12" spans="1:24" x14ac:dyDescent="0.25">
      <c r="A12">
        <f>IFERROR(INDEX(Config!$A:$A,ROW()),)</f>
        <v>0</v>
      </c>
      <c r="B12">
        <f>IFERROR(INDEX(Config!$B:$B,ROW()),)</f>
        <v>0</v>
      </c>
      <c r="F12">
        <f t="shared" si="0"/>
        <v>0</v>
      </c>
    </row>
    <row r="13" spans="1:24" x14ac:dyDescent="0.25">
      <c r="A13">
        <f>IFERROR(INDEX(Config!$A:$A,ROW()),)</f>
        <v>0</v>
      </c>
      <c r="B13">
        <f>IFERROR(INDEX(Config!$B:$B,ROW()),)</f>
        <v>0</v>
      </c>
      <c r="F13">
        <f t="shared" si="0"/>
        <v>0</v>
      </c>
    </row>
    <row r="14" spans="1:24" x14ac:dyDescent="0.25">
      <c r="A14">
        <f>IFERROR(INDEX(Config!$A:$A,ROW()),)</f>
        <v>0</v>
      </c>
      <c r="B14">
        <f>IFERROR(INDEX(Config!$B:$B,ROW()),)</f>
        <v>0</v>
      </c>
      <c r="F14">
        <f t="shared" si="0"/>
        <v>0</v>
      </c>
    </row>
    <row r="15" spans="1:24" x14ac:dyDescent="0.25">
      <c r="A15">
        <f>IFERROR(INDEX(Config!$A:$A,ROW()),)</f>
        <v>0</v>
      </c>
      <c r="B15">
        <f>IFERROR(INDEX(Config!$B:$B,ROW()),)</f>
        <v>0</v>
      </c>
      <c r="F15">
        <f t="shared" si="0"/>
        <v>0</v>
      </c>
    </row>
    <row r="16" spans="1:24" x14ac:dyDescent="0.25">
      <c r="A16">
        <f>IFERROR(INDEX(Config!$A:$A,ROW()),)</f>
        <v>0</v>
      </c>
      <c r="B16">
        <f>IFERROR(INDEX(Config!$B:$B,ROW()),)</f>
        <v>0</v>
      </c>
      <c r="F16">
        <f t="shared" si="0"/>
        <v>0</v>
      </c>
    </row>
    <row r="17" spans="1:6" x14ac:dyDescent="0.25">
      <c r="A17">
        <f>IFERROR(INDEX(Config!$A:$A,ROW()),)</f>
        <v>0</v>
      </c>
      <c r="B17">
        <f>IFERROR(INDEX(Config!$B:$B,ROW()),)</f>
        <v>0</v>
      </c>
      <c r="F17">
        <f t="shared" si="0"/>
        <v>0</v>
      </c>
    </row>
    <row r="18" spans="1:6" x14ac:dyDescent="0.25">
      <c r="A18">
        <f>IFERROR(INDEX(Config!$A:$A,ROW()),)</f>
        <v>0</v>
      </c>
      <c r="B18">
        <f>IFERROR(INDEX(Config!$B:$B,ROW()),)</f>
        <v>0</v>
      </c>
      <c r="F18">
        <f t="shared" si="0"/>
        <v>0</v>
      </c>
    </row>
    <row r="19" spans="1:6" x14ac:dyDescent="0.25">
      <c r="A19">
        <f>IFERROR(INDEX(Config!$A:$A,ROW()),)</f>
        <v>0</v>
      </c>
      <c r="B19">
        <f>IFERROR(INDEX(Config!$B:$B,ROW()),)</f>
        <v>0</v>
      </c>
      <c r="F19">
        <f t="shared" si="0"/>
        <v>0</v>
      </c>
    </row>
    <row r="20" spans="1:6" x14ac:dyDescent="0.25">
      <c r="A20">
        <f>IFERROR(INDEX(Config!$A:$A,ROW()),)</f>
        <v>0</v>
      </c>
      <c r="B20">
        <f>IFERROR(INDEX(Config!$B:$B,ROW()),)</f>
        <v>0</v>
      </c>
      <c r="F20">
        <f t="shared" si="0"/>
        <v>0</v>
      </c>
    </row>
    <row r="21" spans="1:6" x14ac:dyDescent="0.25">
      <c r="A21">
        <f>IFERROR(INDEX(Config!$A:$A,ROW()),)</f>
        <v>0</v>
      </c>
      <c r="B21">
        <f>IFERROR(INDEX(Config!$B:$B,ROW()),)</f>
        <v>0</v>
      </c>
      <c r="F21">
        <f t="shared" si="0"/>
        <v>0</v>
      </c>
    </row>
    <row r="22" spans="1:6" x14ac:dyDescent="0.25">
      <c r="A22">
        <f>IFERROR(INDEX(Config!$A:$A,ROW()),)</f>
        <v>0</v>
      </c>
      <c r="B22">
        <f>IFERROR(INDEX(Config!$B:$B,ROW()),)</f>
        <v>0</v>
      </c>
      <c r="F22">
        <f t="shared" si="0"/>
        <v>0</v>
      </c>
    </row>
    <row r="23" spans="1:6" x14ac:dyDescent="0.25">
      <c r="A23">
        <f>IFERROR(INDEX(Config!$A:$A,ROW()),)</f>
        <v>0</v>
      </c>
      <c r="B23">
        <f>IFERROR(INDEX(Config!$B:$B,ROW()),)</f>
        <v>0</v>
      </c>
      <c r="F23">
        <f t="shared" si="0"/>
        <v>0</v>
      </c>
    </row>
    <row r="24" spans="1:6" x14ac:dyDescent="0.25">
      <c r="A24">
        <f>IFERROR(INDEX(Config!$A:$A,ROW()),)</f>
        <v>0</v>
      </c>
      <c r="B24">
        <f>IFERROR(INDEX(Config!$B:$B,ROW()),)</f>
        <v>0</v>
      </c>
      <c r="F24">
        <f t="shared" si="0"/>
        <v>0</v>
      </c>
    </row>
    <row r="25" spans="1:6" x14ac:dyDescent="0.25">
      <c r="A25">
        <f>IFERROR(INDEX(Config!$A:$A,ROW()),)</f>
        <v>0</v>
      </c>
      <c r="B25">
        <f>IFERROR(INDEX(Config!$B:$B,ROW()),)</f>
        <v>0</v>
      </c>
      <c r="F25">
        <f t="shared" si="0"/>
        <v>0</v>
      </c>
    </row>
    <row r="26" spans="1:6" x14ac:dyDescent="0.25">
      <c r="A26">
        <f>IFERROR(INDEX(Config!$A:$A,ROW()),)</f>
        <v>0</v>
      </c>
      <c r="B26">
        <f>IFERROR(INDEX(Config!$B:$B,ROW()),)</f>
        <v>0</v>
      </c>
      <c r="F26">
        <f t="shared" si="0"/>
        <v>0</v>
      </c>
    </row>
    <row r="27" spans="1:6" x14ac:dyDescent="0.25">
      <c r="A27">
        <f>IFERROR(INDEX(Config!$A:$A,ROW()),)</f>
        <v>0</v>
      </c>
      <c r="B27">
        <f>IFERROR(INDEX(Config!$B:$B,ROW()),)</f>
        <v>0</v>
      </c>
      <c r="F27">
        <f t="shared" si="0"/>
        <v>0</v>
      </c>
    </row>
    <row r="28" spans="1:6" x14ac:dyDescent="0.25">
      <c r="A28">
        <f>IFERROR(INDEX(Config!$A:$A,ROW()),)</f>
        <v>0</v>
      </c>
      <c r="B28">
        <f>IFERROR(INDEX(Config!$B:$B,ROW()),)</f>
        <v>0</v>
      </c>
      <c r="F28">
        <f t="shared" si="0"/>
        <v>0</v>
      </c>
    </row>
    <row r="29" spans="1:6" x14ac:dyDescent="0.25">
      <c r="A29">
        <f>IFERROR(INDEX(Config!$A:$A,ROW()),)</f>
        <v>0</v>
      </c>
      <c r="B29">
        <f>IFERROR(INDEX(Config!$B:$B,ROW()),)</f>
        <v>0</v>
      </c>
      <c r="F29">
        <f t="shared" si="0"/>
        <v>0</v>
      </c>
    </row>
    <row r="30" spans="1:6" x14ac:dyDescent="0.25">
      <c r="A30">
        <f>IFERROR(INDEX(Config!$A:$A,ROW()),)</f>
        <v>0</v>
      </c>
      <c r="B30">
        <f>IFERROR(INDEX(Config!$B:$B,ROW()),)</f>
        <v>0</v>
      </c>
      <c r="F30">
        <f t="shared" si="0"/>
        <v>0</v>
      </c>
    </row>
    <row r="31" spans="1:6" x14ac:dyDescent="0.25">
      <c r="A31">
        <f>IFERROR(INDEX(Config!$A:$A,ROW()),)</f>
        <v>0</v>
      </c>
      <c r="B31">
        <f>IFERROR(INDEX(Config!$B:$B,ROW()),)</f>
        <v>0</v>
      </c>
      <c r="F31">
        <f t="shared" si="0"/>
        <v>0</v>
      </c>
    </row>
    <row r="32" spans="1:6" x14ac:dyDescent="0.25">
      <c r="A32">
        <f>IFERROR(INDEX(Config!$A:$A,ROW()),)</f>
        <v>0</v>
      </c>
      <c r="B32">
        <f>IFERROR(INDEX(Config!$B:$B,ROW()),)</f>
        <v>0</v>
      </c>
      <c r="F32">
        <f t="shared" si="0"/>
        <v>0</v>
      </c>
    </row>
    <row r="33" spans="1:6" x14ac:dyDescent="0.25">
      <c r="A33">
        <f>IFERROR(INDEX(Config!$A:$A,ROW()),)</f>
        <v>0</v>
      </c>
      <c r="B33">
        <f>IFERROR(INDEX(Config!$B:$B,ROW()),)</f>
        <v>0</v>
      </c>
      <c r="F33">
        <f t="shared" si="0"/>
        <v>0</v>
      </c>
    </row>
    <row r="34" spans="1:6" x14ac:dyDescent="0.25">
      <c r="A34">
        <f>IFERROR(INDEX(Config!$A:$A,ROW()),)</f>
        <v>0</v>
      </c>
      <c r="B34">
        <f>IFERROR(INDEX(Config!$B:$B,ROW()),)</f>
        <v>0</v>
      </c>
      <c r="F34">
        <f t="shared" ref="F34:F65" si="1">IFERROR(E34-D34,"")</f>
        <v>0</v>
      </c>
    </row>
    <row r="35" spans="1:6" x14ac:dyDescent="0.25">
      <c r="A35">
        <f>IFERROR(INDEX(Config!$A:$A,ROW()),)</f>
        <v>0</v>
      </c>
      <c r="B35">
        <f>IFERROR(INDEX(Config!$B:$B,ROW()),)</f>
        <v>0</v>
      </c>
      <c r="F35">
        <f t="shared" si="1"/>
        <v>0</v>
      </c>
    </row>
    <row r="36" spans="1:6" x14ac:dyDescent="0.25">
      <c r="A36">
        <f>IFERROR(INDEX(Config!$A:$A,ROW()),)</f>
        <v>0</v>
      </c>
      <c r="B36">
        <f>IFERROR(INDEX(Config!$B:$B,ROW()),)</f>
        <v>0</v>
      </c>
      <c r="F36">
        <f t="shared" si="1"/>
        <v>0</v>
      </c>
    </row>
    <row r="37" spans="1:6" x14ac:dyDescent="0.25">
      <c r="A37">
        <f>IFERROR(INDEX(Config!$A:$A,ROW()),)</f>
        <v>0</v>
      </c>
      <c r="B37">
        <f>IFERROR(INDEX(Config!$B:$B,ROW()),)</f>
        <v>0</v>
      </c>
      <c r="F37">
        <f t="shared" si="1"/>
        <v>0</v>
      </c>
    </row>
    <row r="38" spans="1:6" x14ac:dyDescent="0.25">
      <c r="A38">
        <f>IFERROR(INDEX(Config!$A:$A,ROW()),)</f>
        <v>0</v>
      </c>
      <c r="B38">
        <f>IFERROR(INDEX(Config!$B:$B,ROW()),)</f>
        <v>0</v>
      </c>
      <c r="F38">
        <f t="shared" si="1"/>
        <v>0</v>
      </c>
    </row>
    <row r="39" spans="1:6" x14ac:dyDescent="0.25">
      <c r="A39">
        <f>IFERROR(INDEX(Config!$A:$A,ROW()),)</f>
        <v>0</v>
      </c>
      <c r="B39">
        <f>IFERROR(INDEX(Config!$B:$B,ROW()),)</f>
        <v>0</v>
      </c>
      <c r="F39">
        <f t="shared" si="1"/>
        <v>0</v>
      </c>
    </row>
    <row r="40" spans="1:6" x14ac:dyDescent="0.25">
      <c r="A40">
        <f>IFERROR(INDEX(Config!$A:$A,ROW()),)</f>
        <v>0</v>
      </c>
      <c r="B40">
        <f>IFERROR(INDEX(Config!$B:$B,ROW()),)</f>
        <v>0</v>
      </c>
      <c r="F40">
        <f t="shared" si="1"/>
        <v>0</v>
      </c>
    </row>
    <row r="41" spans="1:6" x14ac:dyDescent="0.25">
      <c r="A41">
        <f>IFERROR(INDEX(Config!$A:$A,ROW()),)</f>
        <v>0</v>
      </c>
      <c r="B41">
        <f>IFERROR(INDEX(Config!$B:$B,ROW()),)</f>
        <v>0</v>
      </c>
      <c r="F41">
        <f t="shared" si="1"/>
        <v>0</v>
      </c>
    </row>
    <row r="42" spans="1:6" x14ac:dyDescent="0.25">
      <c r="A42">
        <f>IFERROR(INDEX(Config!$A:$A,ROW()),)</f>
        <v>0</v>
      </c>
      <c r="B42">
        <f>IFERROR(INDEX(Config!$B:$B,ROW()),)</f>
        <v>0</v>
      </c>
      <c r="F42">
        <f t="shared" si="1"/>
        <v>0</v>
      </c>
    </row>
    <row r="43" spans="1:6" x14ac:dyDescent="0.25">
      <c r="A43">
        <f>IFERROR(INDEX(Config!$A:$A,ROW()),)</f>
        <v>0</v>
      </c>
      <c r="B43">
        <f>IFERROR(INDEX(Config!$B:$B,ROW()),)</f>
        <v>0</v>
      </c>
      <c r="F43">
        <f t="shared" si="1"/>
        <v>0</v>
      </c>
    </row>
    <row r="44" spans="1:6" x14ac:dyDescent="0.25">
      <c r="A44">
        <f>IFERROR(INDEX(Config!$A:$A,ROW()),)</f>
        <v>0</v>
      </c>
      <c r="B44">
        <f>IFERROR(INDEX(Config!$B:$B,ROW()),)</f>
        <v>0</v>
      </c>
      <c r="F44">
        <f t="shared" si="1"/>
        <v>0</v>
      </c>
    </row>
    <row r="45" spans="1:6" x14ac:dyDescent="0.25">
      <c r="A45">
        <f>IFERROR(INDEX(Config!$A:$A,ROW()),)</f>
        <v>0</v>
      </c>
      <c r="B45">
        <f>IFERROR(INDEX(Config!$B:$B,ROW()),)</f>
        <v>0</v>
      </c>
      <c r="F45">
        <f t="shared" si="1"/>
        <v>0</v>
      </c>
    </row>
    <row r="46" spans="1:6" x14ac:dyDescent="0.25">
      <c r="A46">
        <f>IFERROR(INDEX(Config!$A:$A,ROW()),)</f>
        <v>0</v>
      </c>
      <c r="B46">
        <f>IFERROR(INDEX(Config!$B:$B,ROW()),)</f>
        <v>0</v>
      </c>
      <c r="F46">
        <f t="shared" si="1"/>
        <v>0</v>
      </c>
    </row>
    <row r="47" spans="1:6" x14ac:dyDescent="0.25">
      <c r="A47">
        <f>IFERROR(INDEX(Config!$A:$A,ROW()),)</f>
        <v>0</v>
      </c>
      <c r="B47">
        <f>IFERROR(INDEX(Config!$B:$B,ROW()),)</f>
        <v>0</v>
      </c>
      <c r="F47">
        <f t="shared" si="1"/>
        <v>0</v>
      </c>
    </row>
    <row r="48" spans="1:6" x14ac:dyDescent="0.25">
      <c r="A48">
        <f>IFERROR(INDEX(Config!$A:$A,ROW()),)</f>
        <v>0</v>
      </c>
      <c r="B48">
        <f>IFERROR(INDEX(Config!$B:$B,ROW()),)</f>
        <v>0</v>
      </c>
      <c r="F48">
        <f t="shared" si="1"/>
        <v>0</v>
      </c>
    </row>
    <row r="49" spans="1:6" x14ac:dyDescent="0.25">
      <c r="A49">
        <f>IFERROR(INDEX(Config!$A:$A,ROW()),)</f>
        <v>0</v>
      </c>
      <c r="B49">
        <f>IFERROR(INDEX(Config!$B:$B,ROW()),)</f>
        <v>0</v>
      </c>
      <c r="F49">
        <f t="shared" si="1"/>
        <v>0</v>
      </c>
    </row>
    <row r="50" spans="1:6" x14ac:dyDescent="0.25">
      <c r="A50">
        <f>IFERROR(INDEX(Config!$A:$A,ROW()),)</f>
        <v>0</v>
      </c>
      <c r="B50">
        <f>IFERROR(INDEX(Config!$B:$B,ROW()),)</f>
        <v>0</v>
      </c>
      <c r="F50">
        <f t="shared" si="1"/>
        <v>0</v>
      </c>
    </row>
    <row r="51" spans="1:6" x14ac:dyDescent="0.25">
      <c r="A51">
        <f>IFERROR(INDEX(Config!$A:$A,ROW()),)</f>
        <v>0</v>
      </c>
      <c r="B51">
        <f>IFERROR(INDEX(Config!$B:$B,ROW()),)</f>
        <v>0</v>
      </c>
      <c r="F51">
        <f t="shared" si="1"/>
        <v>0</v>
      </c>
    </row>
    <row r="52" spans="1:6" x14ac:dyDescent="0.25">
      <c r="A52">
        <f>IFERROR(INDEX(Config!$A:$A,ROW()),)</f>
        <v>0</v>
      </c>
      <c r="B52">
        <f>IFERROR(INDEX(Config!$B:$B,ROW()),)</f>
        <v>0</v>
      </c>
      <c r="F52">
        <f t="shared" si="1"/>
        <v>0</v>
      </c>
    </row>
    <row r="53" spans="1:6" x14ac:dyDescent="0.25">
      <c r="A53">
        <f>IFERROR(INDEX(Config!$A:$A,ROW()),)</f>
        <v>0</v>
      </c>
      <c r="B53">
        <f>IFERROR(INDEX(Config!$B:$B,ROW()),)</f>
        <v>0</v>
      </c>
      <c r="F53">
        <f t="shared" si="1"/>
        <v>0</v>
      </c>
    </row>
    <row r="54" spans="1:6" x14ac:dyDescent="0.25">
      <c r="A54">
        <f>IFERROR(INDEX(Config!$A:$A,ROW()),)</f>
        <v>0</v>
      </c>
      <c r="B54">
        <f>IFERROR(INDEX(Config!$B:$B,ROW()),)</f>
        <v>0</v>
      </c>
      <c r="F54">
        <f t="shared" si="1"/>
        <v>0</v>
      </c>
    </row>
    <row r="55" spans="1:6" x14ac:dyDescent="0.25">
      <c r="A55">
        <f>IFERROR(INDEX(Config!$A:$A,ROW()),)</f>
        <v>0</v>
      </c>
      <c r="B55">
        <f>IFERROR(INDEX(Config!$B:$B,ROW()),)</f>
        <v>0</v>
      </c>
      <c r="F55">
        <f t="shared" si="1"/>
        <v>0</v>
      </c>
    </row>
    <row r="56" spans="1:6" x14ac:dyDescent="0.25">
      <c r="A56">
        <f>IFERROR(INDEX(Config!$A:$A,ROW()),)</f>
        <v>0</v>
      </c>
      <c r="B56">
        <f>IFERROR(INDEX(Config!$B:$B,ROW()),)</f>
        <v>0</v>
      </c>
      <c r="F56">
        <f t="shared" si="1"/>
        <v>0</v>
      </c>
    </row>
    <row r="57" spans="1:6" x14ac:dyDescent="0.25">
      <c r="A57">
        <f>IFERROR(INDEX(Config!$A:$A,ROW()),)</f>
        <v>0</v>
      </c>
      <c r="B57">
        <f>IFERROR(INDEX(Config!$B:$B,ROW()),)</f>
        <v>0</v>
      </c>
      <c r="F57">
        <f t="shared" si="1"/>
        <v>0</v>
      </c>
    </row>
    <row r="58" spans="1:6" x14ac:dyDescent="0.25">
      <c r="A58">
        <f>IFERROR(INDEX(Config!$A:$A,ROW()),)</f>
        <v>0</v>
      </c>
      <c r="B58">
        <f>IFERROR(INDEX(Config!$B:$B,ROW()),)</f>
        <v>0</v>
      </c>
      <c r="F58">
        <f t="shared" si="1"/>
        <v>0</v>
      </c>
    </row>
    <row r="59" spans="1:6" x14ac:dyDescent="0.25">
      <c r="A59">
        <f>IFERROR(INDEX(Config!$A:$A,ROW()),)</f>
        <v>0</v>
      </c>
      <c r="B59">
        <f>IFERROR(INDEX(Config!$B:$B,ROW()),)</f>
        <v>0</v>
      </c>
      <c r="F59">
        <f t="shared" si="1"/>
        <v>0</v>
      </c>
    </row>
    <row r="60" spans="1:6" x14ac:dyDescent="0.25">
      <c r="A60">
        <f>IFERROR(INDEX(Config!$A:$A,ROW()),)</f>
        <v>0</v>
      </c>
      <c r="B60">
        <f>IFERROR(INDEX(Config!$B:$B,ROW()),)</f>
        <v>0</v>
      </c>
      <c r="F60">
        <f t="shared" si="1"/>
        <v>0</v>
      </c>
    </row>
    <row r="61" spans="1:6" x14ac:dyDescent="0.25">
      <c r="A61">
        <f>IFERROR(INDEX(Config!$A:$A,ROW()),)</f>
        <v>0</v>
      </c>
      <c r="B61">
        <f>IFERROR(INDEX(Config!$B:$B,ROW()),)</f>
        <v>0</v>
      </c>
      <c r="F61">
        <f t="shared" si="1"/>
        <v>0</v>
      </c>
    </row>
    <row r="62" spans="1:6" x14ac:dyDescent="0.25">
      <c r="A62">
        <f>IFERROR(INDEX(Config!$A:$A,ROW()),)</f>
        <v>0</v>
      </c>
      <c r="B62">
        <f>IFERROR(INDEX(Config!$B:$B,ROW()),)</f>
        <v>0</v>
      </c>
      <c r="F62">
        <f t="shared" si="1"/>
        <v>0</v>
      </c>
    </row>
    <row r="63" spans="1:6" x14ac:dyDescent="0.25">
      <c r="A63">
        <f>IFERROR(INDEX(Config!$A:$A,ROW()),)</f>
        <v>0</v>
      </c>
      <c r="B63">
        <f>IFERROR(INDEX(Config!$B:$B,ROW()),)</f>
        <v>0</v>
      </c>
      <c r="F63">
        <f t="shared" si="1"/>
        <v>0</v>
      </c>
    </row>
    <row r="64" spans="1:6" x14ac:dyDescent="0.25">
      <c r="A64">
        <f>IFERROR(INDEX(Config!$A:$A,ROW()),)</f>
        <v>0</v>
      </c>
      <c r="B64">
        <f>IFERROR(INDEX(Config!$B:$B,ROW()),)</f>
        <v>0</v>
      </c>
      <c r="F64">
        <f t="shared" si="1"/>
        <v>0</v>
      </c>
    </row>
    <row r="65" spans="1:6" x14ac:dyDescent="0.25">
      <c r="A65">
        <f>IFERROR(INDEX(Config!$A:$A,ROW()),)</f>
        <v>0</v>
      </c>
      <c r="B65">
        <f>IFERROR(INDEX(Config!$B:$B,ROW()),)</f>
        <v>0</v>
      </c>
      <c r="F65">
        <f t="shared" si="1"/>
        <v>0</v>
      </c>
    </row>
    <row r="66" spans="1:6" x14ac:dyDescent="0.25">
      <c r="A66">
        <f>IFERROR(INDEX(Config!$A:$A,ROW()),)</f>
        <v>0</v>
      </c>
      <c r="B66">
        <f>IFERROR(INDEX(Config!$B:$B,ROW()),)</f>
        <v>0</v>
      </c>
      <c r="F66">
        <f t="shared" ref="F66:F97" si="2">IFERROR(E66-D66,"")</f>
        <v>0</v>
      </c>
    </row>
    <row r="67" spans="1:6" x14ac:dyDescent="0.25">
      <c r="A67">
        <f>IFERROR(INDEX(Config!$A:$A,ROW()),)</f>
        <v>0</v>
      </c>
      <c r="B67">
        <f>IFERROR(INDEX(Config!$B:$B,ROW()),)</f>
        <v>0</v>
      </c>
      <c r="F67">
        <f t="shared" si="2"/>
        <v>0</v>
      </c>
    </row>
    <row r="68" spans="1:6" x14ac:dyDescent="0.25">
      <c r="A68">
        <f>IFERROR(INDEX(Config!$A:$A,ROW()),)</f>
        <v>0</v>
      </c>
      <c r="B68">
        <f>IFERROR(INDEX(Config!$B:$B,ROW()),)</f>
        <v>0</v>
      </c>
      <c r="F68">
        <f t="shared" si="2"/>
        <v>0</v>
      </c>
    </row>
    <row r="69" spans="1:6" x14ac:dyDescent="0.25">
      <c r="A69">
        <f>IFERROR(INDEX(Config!$A:$A,ROW()),)</f>
        <v>0</v>
      </c>
      <c r="B69">
        <f>IFERROR(INDEX(Config!$B:$B,ROW()),)</f>
        <v>0</v>
      </c>
      <c r="F69">
        <f t="shared" si="2"/>
        <v>0</v>
      </c>
    </row>
    <row r="70" spans="1:6" x14ac:dyDescent="0.25">
      <c r="A70">
        <f>IFERROR(INDEX(Config!$A:$A,ROW()),)</f>
        <v>0</v>
      </c>
      <c r="B70">
        <f>IFERROR(INDEX(Config!$B:$B,ROW()),)</f>
        <v>0</v>
      </c>
      <c r="F70">
        <f t="shared" si="2"/>
        <v>0</v>
      </c>
    </row>
    <row r="71" spans="1:6" x14ac:dyDescent="0.25">
      <c r="A71">
        <f>IFERROR(INDEX(Config!$A:$A,ROW()),)</f>
        <v>0</v>
      </c>
      <c r="B71">
        <f>IFERROR(INDEX(Config!$B:$B,ROW()),)</f>
        <v>0</v>
      </c>
      <c r="F71">
        <f t="shared" si="2"/>
        <v>0</v>
      </c>
    </row>
    <row r="72" spans="1:6" x14ac:dyDescent="0.25">
      <c r="A72">
        <f>IFERROR(INDEX(Config!$A:$A,ROW()),)</f>
        <v>0</v>
      </c>
      <c r="B72">
        <f>IFERROR(INDEX(Config!$B:$B,ROW()),)</f>
        <v>0</v>
      </c>
      <c r="F72">
        <f t="shared" si="2"/>
        <v>0</v>
      </c>
    </row>
    <row r="73" spans="1:6" x14ac:dyDescent="0.25">
      <c r="A73">
        <f>IFERROR(INDEX(Config!$A:$A,ROW()),)</f>
        <v>0</v>
      </c>
      <c r="B73">
        <f>IFERROR(INDEX(Config!$B:$B,ROW()),)</f>
        <v>0</v>
      </c>
      <c r="F73">
        <f t="shared" si="2"/>
        <v>0</v>
      </c>
    </row>
    <row r="74" spans="1:6" x14ac:dyDescent="0.25">
      <c r="A74">
        <f>IFERROR(INDEX(Config!$A:$A,ROW()),)</f>
        <v>0</v>
      </c>
      <c r="B74">
        <f>IFERROR(INDEX(Config!$B:$B,ROW()),)</f>
        <v>0</v>
      </c>
      <c r="F74">
        <f t="shared" si="2"/>
        <v>0</v>
      </c>
    </row>
    <row r="75" spans="1:6" x14ac:dyDescent="0.25">
      <c r="A75">
        <f>IFERROR(INDEX(Config!$A:$A,ROW()),)</f>
        <v>0</v>
      </c>
      <c r="B75">
        <f>IFERROR(INDEX(Config!$B:$B,ROW()),)</f>
        <v>0</v>
      </c>
      <c r="F75">
        <f t="shared" si="2"/>
        <v>0</v>
      </c>
    </row>
    <row r="76" spans="1:6" x14ac:dyDescent="0.25">
      <c r="A76">
        <f>IFERROR(INDEX(Config!$A:$A,ROW()),)</f>
        <v>0</v>
      </c>
      <c r="B76">
        <f>IFERROR(INDEX(Config!$B:$B,ROW()),)</f>
        <v>0</v>
      </c>
      <c r="F76">
        <f t="shared" si="2"/>
        <v>0</v>
      </c>
    </row>
    <row r="77" spans="1:6" x14ac:dyDescent="0.25">
      <c r="A77">
        <f>IFERROR(INDEX(Config!$A:$A,ROW()),)</f>
        <v>0</v>
      </c>
      <c r="B77">
        <f>IFERROR(INDEX(Config!$B:$B,ROW()),)</f>
        <v>0</v>
      </c>
      <c r="F77">
        <f t="shared" si="2"/>
        <v>0</v>
      </c>
    </row>
    <row r="78" spans="1:6" x14ac:dyDescent="0.25">
      <c r="A78">
        <f>IFERROR(INDEX(Config!$A:$A,ROW()),)</f>
        <v>0</v>
      </c>
      <c r="B78">
        <f>IFERROR(INDEX(Config!$B:$B,ROW()),)</f>
        <v>0</v>
      </c>
      <c r="F78">
        <f t="shared" si="2"/>
        <v>0</v>
      </c>
    </row>
    <row r="79" spans="1:6" x14ac:dyDescent="0.25">
      <c r="A79">
        <f>IFERROR(INDEX(Config!$A:$A,ROW()),)</f>
        <v>0</v>
      </c>
      <c r="B79">
        <f>IFERROR(INDEX(Config!$B:$B,ROW()),)</f>
        <v>0</v>
      </c>
      <c r="F79">
        <f t="shared" si="2"/>
        <v>0</v>
      </c>
    </row>
    <row r="80" spans="1:6" x14ac:dyDescent="0.25">
      <c r="A80">
        <f>IFERROR(INDEX(Config!$A:$A,ROW()),)</f>
        <v>0</v>
      </c>
      <c r="B80">
        <f>IFERROR(INDEX(Config!$B:$B,ROW()),)</f>
        <v>0</v>
      </c>
      <c r="F80">
        <f t="shared" si="2"/>
        <v>0</v>
      </c>
    </row>
    <row r="81" spans="1:6" x14ac:dyDescent="0.25">
      <c r="A81">
        <f>IFERROR(INDEX(Config!$A:$A,ROW()),)</f>
        <v>0</v>
      </c>
      <c r="B81">
        <f>IFERROR(INDEX(Config!$B:$B,ROW()),)</f>
        <v>0</v>
      </c>
      <c r="F81">
        <f t="shared" si="2"/>
        <v>0</v>
      </c>
    </row>
    <row r="82" spans="1:6" x14ac:dyDescent="0.25">
      <c r="A82">
        <f>IFERROR(INDEX(Config!$A:$A,ROW()),)</f>
        <v>0</v>
      </c>
      <c r="B82">
        <f>IFERROR(INDEX(Config!$B:$B,ROW()),)</f>
        <v>0</v>
      </c>
      <c r="F82">
        <f t="shared" si="2"/>
        <v>0</v>
      </c>
    </row>
    <row r="83" spans="1:6" x14ac:dyDescent="0.25">
      <c r="A83">
        <f>IFERROR(INDEX(Config!$A:$A,ROW()),)</f>
        <v>0</v>
      </c>
      <c r="B83">
        <f>IFERROR(INDEX(Config!$B:$B,ROW()),)</f>
        <v>0</v>
      </c>
      <c r="F83">
        <f t="shared" si="2"/>
        <v>0</v>
      </c>
    </row>
    <row r="84" spans="1:6" x14ac:dyDescent="0.25">
      <c r="A84">
        <f>IFERROR(INDEX(Config!$A:$A,ROW()),)</f>
        <v>0</v>
      </c>
      <c r="B84">
        <f>IFERROR(INDEX(Config!$B:$B,ROW()),)</f>
        <v>0</v>
      </c>
      <c r="F84">
        <f t="shared" si="2"/>
        <v>0</v>
      </c>
    </row>
    <row r="85" spans="1:6" x14ac:dyDescent="0.25">
      <c r="A85">
        <f>IFERROR(INDEX(Config!$A:$A,ROW()),)</f>
        <v>0</v>
      </c>
      <c r="B85">
        <f>IFERROR(INDEX(Config!$B:$B,ROW()),)</f>
        <v>0</v>
      </c>
      <c r="F85">
        <f t="shared" si="2"/>
        <v>0</v>
      </c>
    </row>
    <row r="86" spans="1:6" x14ac:dyDescent="0.25">
      <c r="A86">
        <f>IFERROR(INDEX(Config!$A:$A,ROW()),)</f>
        <v>0</v>
      </c>
      <c r="B86">
        <f>IFERROR(INDEX(Config!$B:$B,ROW()),)</f>
        <v>0</v>
      </c>
      <c r="F86">
        <f t="shared" si="2"/>
        <v>0</v>
      </c>
    </row>
    <row r="87" spans="1:6" x14ac:dyDescent="0.25">
      <c r="A87">
        <f>IFERROR(INDEX(Config!$A:$A,ROW()),)</f>
        <v>0</v>
      </c>
      <c r="B87">
        <f>IFERROR(INDEX(Config!$B:$B,ROW()),)</f>
        <v>0</v>
      </c>
      <c r="F87">
        <f t="shared" si="2"/>
        <v>0</v>
      </c>
    </row>
    <row r="88" spans="1:6" x14ac:dyDescent="0.25">
      <c r="A88">
        <f>IFERROR(INDEX(Config!$A:$A,ROW()),)</f>
        <v>0</v>
      </c>
      <c r="B88">
        <f>IFERROR(INDEX(Config!$B:$B,ROW()),)</f>
        <v>0</v>
      </c>
      <c r="F88">
        <f t="shared" si="2"/>
        <v>0</v>
      </c>
    </row>
    <row r="89" spans="1:6" x14ac:dyDescent="0.25">
      <c r="A89">
        <f>IFERROR(INDEX(Config!$A:$A,ROW()),)</f>
        <v>0</v>
      </c>
      <c r="B89">
        <f>IFERROR(INDEX(Config!$B:$B,ROW()),)</f>
        <v>0</v>
      </c>
      <c r="F89">
        <f t="shared" si="2"/>
        <v>0</v>
      </c>
    </row>
    <row r="90" spans="1:6" x14ac:dyDescent="0.25">
      <c r="A90">
        <f>IFERROR(INDEX(Config!$A:$A,ROW()),)</f>
        <v>0</v>
      </c>
      <c r="B90">
        <f>IFERROR(INDEX(Config!$B:$B,ROW()),)</f>
        <v>0</v>
      </c>
      <c r="F90">
        <f t="shared" si="2"/>
        <v>0</v>
      </c>
    </row>
    <row r="91" spans="1:6" x14ac:dyDescent="0.25">
      <c r="A91">
        <f>IFERROR(INDEX(Config!$A:$A,ROW()),)</f>
        <v>0</v>
      </c>
      <c r="B91">
        <f>IFERROR(INDEX(Config!$B:$B,ROW()),)</f>
        <v>0</v>
      </c>
      <c r="F91">
        <f t="shared" si="2"/>
        <v>0</v>
      </c>
    </row>
    <row r="92" spans="1:6" x14ac:dyDescent="0.25">
      <c r="A92">
        <f>IFERROR(INDEX(Config!$A:$A,ROW()),)</f>
        <v>0</v>
      </c>
      <c r="B92">
        <f>IFERROR(INDEX(Config!$B:$B,ROW()),)</f>
        <v>0</v>
      </c>
      <c r="F92">
        <f t="shared" si="2"/>
        <v>0</v>
      </c>
    </row>
    <row r="93" spans="1:6" x14ac:dyDescent="0.25">
      <c r="A93">
        <f>IFERROR(INDEX(Config!$A:$A,ROW()),)</f>
        <v>0</v>
      </c>
      <c r="B93">
        <f>IFERROR(INDEX(Config!$B:$B,ROW()),)</f>
        <v>0</v>
      </c>
      <c r="F93">
        <f t="shared" si="2"/>
        <v>0</v>
      </c>
    </row>
    <row r="94" spans="1:6" x14ac:dyDescent="0.25">
      <c r="A94">
        <f>IFERROR(INDEX(Config!$A:$A,ROW()),)</f>
        <v>0</v>
      </c>
      <c r="B94">
        <f>IFERROR(INDEX(Config!$B:$B,ROW()),)</f>
        <v>0</v>
      </c>
      <c r="F94">
        <f t="shared" si="2"/>
        <v>0</v>
      </c>
    </row>
    <row r="95" spans="1:6" x14ac:dyDescent="0.25">
      <c r="A95">
        <f>IFERROR(INDEX(Config!$A:$A,ROW()),)</f>
        <v>0</v>
      </c>
      <c r="B95">
        <f>IFERROR(INDEX(Config!$B:$B,ROW()),)</f>
        <v>0</v>
      </c>
      <c r="F95">
        <f t="shared" si="2"/>
        <v>0</v>
      </c>
    </row>
    <row r="96" spans="1:6" x14ac:dyDescent="0.25">
      <c r="A96">
        <f>IFERROR(INDEX(Config!$A:$A,ROW()),)</f>
        <v>0</v>
      </c>
      <c r="B96">
        <f>IFERROR(INDEX(Config!$B:$B,ROW()),)</f>
        <v>0</v>
      </c>
      <c r="F96">
        <f t="shared" si="2"/>
        <v>0</v>
      </c>
    </row>
    <row r="97" spans="1:6" x14ac:dyDescent="0.25">
      <c r="A97">
        <f>IFERROR(INDEX(Config!$A:$A,ROW()),)</f>
        <v>0</v>
      </c>
      <c r="B97">
        <f>IFERROR(INDEX(Config!$B:$B,ROW()),)</f>
        <v>0</v>
      </c>
      <c r="F97">
        <f t="shared" si="2"/>
        <v>0</v>
      </c>
    </row>
    <row r="98" spans="1:6" x14ac:dyDescent="0.25">
      <c r="A98">
        <f>IFERROR(INDEX(Config!$A:$A,ROW()),)</f>
        <v>0</v>
      </c>
      <c r="B98">
        <f>IFERROR(INDEX(Config!$B:$B,ROW()),)</f>
        <v>0</v>
      </c>
      <c r="F98">
        <f t="shared" ref="F98:F129" si="3">IFERROR(E98-D98,"")</f>
        <v>0</v>
      </c>
    </row>
    <row r="99" spans="1:6" x14ac:dyDescent="0.25">
      <c r="A99">
        <f>IFERROR(INDEX(Config!$A:$A,ROW()),)</f>
        <v>0</v>
      </c>
      <c r="B99">
        <f>IFERROR(INDEX(Config!$B:$B,ROW()),)</f>
        <v>0</v>
      </c>
      <c r="F99">
        <f t="shared" si="3"/>
        <v>0</v>
      </c>
    </row>
    <row r="100" spans="1:6" x14ac:dyDescent="0.25">
      <c r="A100">
        <f>IFERROR(INDEX(Config!$A:$A,ROW()),)</f>
        <v>0</v>
      </c>
      <c r="B100">
        <f>IFERROR(INDEX(Config!$B:$B,ROW()),)</f>
        <v>0</v>
      </c>
      <c r="F100">
        <f t="shared" si="3"/>
        <v>0</v>
      </c>
    </row>
    <row r="101" spans="1:6" x14ac:dyDescent="0.25">
      <c r="A101">
        <f>IFERROR(INDEX(Config!$A:$A,ROW()),)</f>
        <v>0</v>
      </c>
      <c r="B101">
        <f>IFERROR(INDEX(Config!$B:$B,ROW()),)</f>
        <v>0</v>
      </c>
      <c r="F101">
        <f t="shared" si="3"/>
        <v>0</v>
      </c>
    </row>
    <row r="102" spans="1:6" x14ac:dyDescent="0.25">
      <c r="A102">
        <f>IFERROR(INDEX(Config!$A:$A,ROW()),)</f>
        <v>0</v>
      </c>
      <c r="B102">
        <f>IFERROR(INDEX(Config!$B:$B,ROW()),)</f>
        <v>0</v>
      </c>
      <c r="F102">
        <f t="shared" si="3"/>
        <v>0</v>
      </c>
    </row>
    <row r="103" spans="1:6" x14ac:dyDescent="0.25">
      <c r="A103">
        <f>IFERROR(INDEX(Config!$A:$A,ROW()),)</f>
        <v>0</v>
      </c>
      <c r="B103">
        <f>IFERROR(INDEX(Config!$B:$B,ROW()),)</f>
        <v>0</v>
      </c>
      <c r="F103">
        <f t="shared" si="3"/>
        <v>0</v>
      </c>
    </row>
    <row r="104" spans="1:6" x14ac:dyDescent="0.25">
      <c r="A104">
        <f>IFERROR(INDEX(Config!$A:$A,ROW()),)</f>
        <v>0</v>
      </c>
      <c r="B104">
        <f>IFERROR(INDEX(Config!$B:$B,ROW()),)</f>
        <v>0</v>
      </c>
      <c r="F104">
        <f t="shared" si="3"/>
        <v>0</v>
      </c>
    </row>
    <row r="105" spans="1:6" x14ac:dyDescent="0.25">
      <c r="A105">
        <f>IFERROR(INDEX(Config!$A:$A,ROW()),)</f>
        <v>0</v>
      </c>
      <c r="B105">
        <f>IFERROR(INDEX(Config!$B:$B,ROW()),)</f>
        <v>0</v>
      </c>
      <c r="F105">
        <f t="shared" si="3"/>
        <v>0</v>
      </c>
    </row>
    <row r="106" spans="1:6" x14ac:dyDescent="0.25">
      <c r="A106">
        <f>IFERROR(INDEX(Config!$A:$A,ROW()),)</f>
        <v>0</v>
      </c>
      <c r="B106">
        <f>IFERROR(INDEX(Config!$B:$B,ROW()),)</f>
        <v>0</v>
      </c>
      <c r="F106">
        <f t="shared" si="3"/>
        <v>0</v>
      </c>
    </row>
    <row r="107" spans="1:6" x14ac:dyDescent="0.25">
      <c r="A107">
        <f>IFERROR(INDEX(Config!$A:$A,ROW()),)</f>
        <v>0</v>
      </c>
      <c r="B107">
        <f>IFERROR(INDEX(Config!$B:$B,ROW()),)</f>
        <v>0</v>
      </c>
      <c r="F107">
        <f t="shared" si="3"/>
        <v>0</v>
      </c>
    </row>
    <row r="108" spans="1:6" x14ac:dyDescent="0.25">
      <c r="A108">
        <f>IFERROR(INDEX(Config!$A:$A,ROW()),)</f>
        <v>0</v>
      </c>
      <c r="B108">
        <f>IFERROR(INDEX(Config!$B:$B,ROW()),)</f>
        <v>0</v>
      </c>
      <c r="F108">
        <f t="shared" si="3"/>
        <v>0</v>
      </c>
    </row>
    <row r="109" spans="1:6" x14ac:dyDescent="0.25">
      <c r="A109">
        <f>IFERROR(INDEX(Config!$A:$A,ROW()),)</f>
        <v>0</v>
      </c>
      <c r="B109">
        <f>IFERROR(INDEX(Config!$B:$B,ROW()),)</f>
        <v>0</v>
      </c>
      <c r="F109">
        <f t="shared" si="3"/>
        <v>0</v>
      </c>
    </row>
    <row r="110" spans="1:6" x14ac:dyDescent="0.25">
      <c r="A110">
        <f>IFERROR(INDEX(Config!$A:$A,ROW()),)</f>
        <v>0</v>
      </c>
      <c r="B110">
        <f>IFERROR(INDEX(Config!$B:$B,ROW()),)</f>
        <v>0</v>
      </c>
      <c r="F110">
        <f t="shared" si="3"/>
        <v>0</v>
      </c>
    </row>
    <row r="111" spans="1:6" x14ac:dyDescent="0.25">
      <c r="A111">
        <f>IFERROR(INDEX(Config!$A:$A,ROW()),)</f>
        <v>0</v>
      </c>
      <c r="B111">
        <f>IFERROR(INDEX(Config!$B:$B,ROW()),)</f>
        <v>0</v>
      </c>
      <c r="F111">
        <f t="shared" si="3"/>
        <v>0</v>
      </c>
    </row>
    <row r="112" spans="1:6" x14ac:dyDescent="0.25">
      <c r="A112">
        <f>IFERROR(INDEX(Config!$A:$A,ROW()),)</f>
        <v>0</v>
      </c>
      <c r="B112">
        <f>IFERROR(INDEX(Config!$B:$B,ROW()),)</f>
        <v>0</v>
      </c>
      <c r="F112">
        <f t="shared" si="3"/>
        <v>0</v>
      </c>
    </row>
    <row r="113" spans="1:6" x14ac:dyDescent="0.25">
      <c r="A113">
        <f>IFERROR(INDEX(Config!$A:$A,ROW()),)</f>
        <v>0</v>
      </c>
      <c r="B113">
        <f>IFERROR(INDEX(Config!$B:$B,ROW()),)</f>
        <v>0</v>
      </c>
      <c r="F113">
        <f t="shared" si="3"/>
        <v>0</v>
      </c>
    </row>
    <row r="114" spans="1:6" x14ac:dyDescent="0.25">
      <c r="A114">
        <f>IFERROR(INDEX(Config!$A:$A,ROW()),)</f>
        <v>0</v>
      </c>
      <c r="B114">
        <f>IFERROR(INDEX(Config!$B:$B,ROW()),)</f>
        <v>0</v>
      </c>
      <c r="F114">
        <f t="shared" si="3"/>
        <v>0</v>
      </c>
    </row>
    <row r="115" spans="1:6" x14ac:dyDescent="0.25">
      <c r="A115">
        <f>IFERROR(INDEX(Config!$A:$A,ROW()),)</f>
        <v>0</v>
      </c>
      <c r="B115">
        <f>IFERROR(INDEX(Config!$B:$B,ROW()),)</f>
        <v>0</v>
      </c>
      <c r="F115">
        <f t="shared" si="3"/>
        <v>0</v>
      </c>
    </row>
    <row r="116" spans="1:6" x14ac:dyDescent="0.25">
      <c r="A116">
        <f>IFERROR(INDEX(Config!$A:$A,ROW()),)</f>
        <v>0</v>
      </c>
      <c r="B116">
        <f>IFERROR(INDEX(Config!$B:$B,ROW()),)</f>
        <v>0</v>
      </c>
      <c r="F116">
        <f t="shared" si="3"/>
        <v>0</v>
      </c>
    </row>
    <row r="117" spans="1:6" x14ac:dyDescent="0.25">
      <c r="A117">
        <f>IFERROR(INDEX(Config!$A:$A,ROW()),)</f>
        <v>0</v>
      </c>
      <c r="B117">
        <f>IFERROR(INDEX(Config!$B:$B,ROW()),)</f>
        <v>0</v>
      </c>
      <c r="F117">
        <f t="shared" si="3"/>
        <v>0</v>
      </c>
    </row>
    <row r="118" spans="1:6" x14ac:dyDescent="0.25">
      <c r="A118">
        <f>IFERROR(INDEX(Config!$A:$A,ROW()),)</f>
        <v>0</v>
      </c>
      <c r="B118">
        <f>IFERROR(INDEX(Config!$B:$B,ROW()),)</f>
        <v>0</v>
      </c>
      <c r="F118">
        <f t="shared" si="3"/>
        <v>0</v>
      </c>
    </row>
    <row r="119" spans="1:6" x14ac:dyDescent="0.25">
      <c r="A119">
        <f>IFERROR(INDEX(Config!$A:$A,ROW()),)</f>
        <v>0</v>
      </c>
      <c r="B119">
        <f>IFERROR(INDEX(Config!$B:$B,ROW()),)</f>
        <v>0</v>
      </c>
      <c r="F119">
        <f t="shared" si="3"/>
        <v>0</v>
      </c>
    </row>
    <row r="120" spans="1:6" x14ac:dyDescent="0.25">
      <c r="A120">
        <f>IFERROR(INDEX(Config!$A:$A,ROW()),)</f>
        <v>0</v>
      </c>
      <c r="B120">
        <f>IFERROR(INDEX(Config!$B:$B,ROW()),)</f>
        <v>0</v>
      </c>
      <c r="F120">
        <f t="shared" si="3"/>
        <v>0</v>
      </c>
    </row>
    <row r="121" spans="1:6" x14ac:dyDescent="0.25">
      <c r="A121">
        <f>IFERROR(INDEX(Config!$A:$A,ROW()),)</f>
        <v>0</v>
      </c>
      <c r="B121">
        <f>IFERROR(INDEX(Config!$B:$B,ROW()),)</f>
        <v>0</v>
      </c>
      <c r="F121">
        <f t="shared" si="3"/>
        <v>0</v>
      </c>
    </row>
    <row r="122" spans="1:6" x14ac:dyDescent="0.25">
      <c r="A122">
        <f>IFERROR(INDEX(Config!$A:$A,ROW()),)</f>
        <v>0</v>
      </c>
      <c r="B122">
        <f>IFERROR(INDEX(Config!$B:$B,ROW()),)</f>
        <v>0</v>
      </c>
      <c r="F122">
        <f t="shared" si="3"/>
        <v>0</v>
      </c>
    </row>
    <row r="123" spans="1:6" x14ac:dyDescent="0.25">
      <c r="A123">
        <f>IFERROR(INDEX(Config!$A:$A,ROW()),)</f>
        <v>0</v>
      </c>
      <c r="B123">
        <f>IFERROR(INDEX(Config!$B:$B,ROW()),)</f>
        <v>0</v>
      </c>
      <c r="F123">
        <f t="shared" si="3"/>
        <v>0</v>
      </c>
    </row>
    <row r="124" spans="1:6" x14ac:dyDescent="0.25">
      <c r="A124">
        <f>IFERROR(INDEX(Config!$A:$A,ROW()),)</f>
        <v>0</v>
      </c>
      <c r="B124">
        <f>IFERROR(INDEX(Config!$B:$B,ROW()),)</f>
        <v>0</v>
      </c>
      <c r="F124">
        <f t="shared" si="3"/>
        <v>0</v>
      </c>
    </row>
    <row r="125" spans="1:6" x14ac:dyDescent="0.25">
      <c r="A125">
        <f>IFERROR(INDEX(Config!$A:$A,ROW()),)</f>
        <v>0</v>
      </c>
      <c r="B125">
        <f>IFERROR(INDEX(Config!$B:$B,ROW()),)</f>
        <v>0</v>
      </c>
      <c r="F125">
        <f t="shared" si="3"/>
        <v>0</v>
      </c>
    </row>
    <row r="126" spans="1:6" x14ac:dyDescent="0.25">
      <c r="A126">
        <f>IFERROR(INDEX(Config!$A:$A,ROW()),)</f>
        <v>0</v>
      </c>
      <c r="B126">
        <f>IFERROR(INDEX(Config!$B:$B,ROW()),)</f>
        <v>0</v>
      </c>
      <c r="F126">
        <f t="shared" si="3"/>
        <v>0</v>
      </c>
    </row>
    <row r="127" spans="1:6" x14ac:dyDescent="0.25">
      <c r="A127">
        <f>IFERROR(INDEX(Config!$A:$A,ROW()),)</f>
        <v>0</v>
      </c>
      <c r="B127">
        <f>IFERROR(INDEX(Config!$B:$B,ROW()),)</f>
        <v>0</v>
      </c>
      <c r="F127">
        <f t="shared" si="3"/>
        <v>0</v>
      </c>
    </row>
    <row r="128" spans="1:6" x14ac:dyDescent="0.25">
      <c r="A128">
        <f>IFERROR(INDEX(Config!$A:$A,ROW()),)</f>
        <v>0</v>
      </c>
      <c r="B128">
        <f>IFERROR(INDEX(Config!$B:$B,ROW()),)</f>
        <v>0</v>
      </c>
      <c r="F128">
        <f t="shared" si="3"/>
        <v>0</v>
      </c>
    </row>
    <row r="129" spans="1:6" x14ac:dyDescent="0.25">
      <c r="A129">
        <f>IFERROR(INDEX(Config!$A:$A,ROW()),)</f>
        <v>0</v>
      </c>
      <c r="B129">
        <f>IFERROR(INDEX(Config!$B:$B,ROW()),)</f>
        <v>0</v>
      </c>
      <c r="F129">
        <f t="shared" si="3"/>
        <v>0</v>
      </c>
    </row>
    <row r="130" spans="1:6" x14ac:dyDescent="0.25">
      <c r="A130">
        <f>IFERROR(INDEX(Config!$A:$A,ROW()),)</f>
        <v>0</v>
      </c>
      <c r="B130">
        <f>IFERROR(INDEX(Config!$B:$B,ROW()),)</f>
        <v>0</v>
      </c>
      <c r="F130">
        <f t="shared" ref="F130:F151" si="4">IFERROR(E130-D130,"")</f>
        <v>0</v>
      </c>
    </row>
    <row r="131" spans="1:6" x14ac:dyDescent="0.25">
      <c r="A131">
        <f>IFERROR(INDEX(Config!$A:$A,ROW()),)</f>
        <v>0</v>
      </c>
      <c r="B131">
        <f>IFERROR(INDEX(Config!$B:$B,ROW()),)</f>
        <v>0</v>
      </c>
      <c r="F131">
        <f t="shared" si="4"/>
        <v>0</v>
      </c>
    </row>
    <row r="132" spans="1:6" x14ac:dyDescent="0.25">
      <c r="A132">
        <f>IFERROR(INDEX(Config!$A:$A,ROW()),)</f>
        <v>0</v>
      </c>
      <c r="B132">
        <f>IFERROR(INDEX(Config!$B:$B,ROW()),)</f>
        <v>0</v>
      </c>
      <c r="F132">
        <f t="shared" si="4"/>
        <v>0</v>
      </c>
    </row>
    <row r="133" spans="1:6" x14ac:dyDescent="0.25">
      <c r="A133">
        <f>IFERROR(INDEX(Config!$A:$A,ROW()),)</f>
        <v>0</v>
      </c>
      <c r="B133">
        <f>IFERROR(INDEX(Config!$B:$B,ROW()),)</f>
        <v>0</v>
      </c>
      <c r="F133">
        <f t="shared" si="4"/>
        <v>0</v>
      </c>
    </row>
    <row r="134" spans="1:6" x14ac:dyDescent="0.25">
      <c r="A134">
        <f>IFERROR(INDEX(Config!$A:$A,ROW()),)</f>
        <v>0</v>
      </c>
      <c r="B134">
        <f>IFERROR(INDEX(Config!$B:$B,ROW()),)</f>
        <v>0</v>
      </c>
      <c r="F134">
        <f t="shared" si="4"/>
        <v>0</v>
      </c>
    </row>
    <row r="135" spans="1:6" x14ac:dyDescent="0.25">
      <c r="A135">
        <f>IFERROR(INDEX(Config!$A:$A,ROW()),)</f>
        <v>0</v>
      </c>
      <c r="B135">
        <f>IFERROR(INDEX(Config!$B:$B,ROW()),)</f>
        <v>0</v>
      </c>
      <c r="F135">
        <f t="shared" si="4"/>
        <v>0</v>
      </c>
    </row>
    <row r="136" spans="1:6" x14ac:dyDescent="0.25">
      <c r="A136">
        <f>IFERROR(INDEX(Config!$A:$A,ROW()),)</f>
        <v>0</v>
      </c>
      <c r="B136">
        <f>IFERROR(INDEX(Config!$B:$B,ROW()),)</f>
        <v>0</v>
      </c>
      <c r="F136">
        <f t="shared" si="4"/>
        <v>0</v>
      </c>
    </row>
    <row r="137" spans="1:6" x14ac:dyDescent="0.25">
      <c r="A137">
        <f>IFERROR(INDEX(Config!$A:$A,ROW()),)</f>
        <v>0</v>
      </c>
      <c r="B137">
        <f>IFERROR(INDEX(Config!$B:$B,ROW()),)</f>
        <v>0</v>
      </c>
      <c r="F137">
        <f t="shared" si="4"/>
        <v>0</v>
      </c>
    </row>
    <row r="138" spans="1:6" x14ac:dyDescent="0.25">
      <c r="A138">
        <f>IFERROR(INDEX(Config!$A:$A,ROW()),)</f>
        <v>0</v>
      </c>
      <c r="B138">
        <f>IFERROR(INDEX(Config!$B:$B,ROW()),)</f>
        <v>0</v>
      </c>
      <c r="F138">
        <f t="shared" si="4"/>
        <v>0</v>
      </c>
    </row>
    <row r="139" spans="1:6" x14ac:dyDescent="0.25">
      <c r="A139">
        <f>IFERROR(INDEX(Config!$A:$A,ROW()),)</f>
        <v>0</v>
      </c>
      <c r="B139">
        <f>IFERROR(INDEX(Config!$B:$B,ROW()),)</f>
        <v>0</v>
      </c>
      <c r="F139">
        <f t="shared" si="4"/>
        <v>0</v>
      </c>
    </row>
    <row r="140" spans="1:6" x14ac:dyDescent="0.25">
      <c r="A140">
        <f>IFERROR(INDEX(Config!$A:$A,ROW()),)</f>
        <v>0</v>
      </c>
      <c r="B140">
        <f>IFERROR(INDEX(Config!$B:$B,ROW()),)</f>
        <v>0</v>
      </c>
      <c r="F140">
        <f t="shared" si="4"/>
        <v>0</v>
      </c>
    </row>
    <row r="141" spans="1:6" x14ac:dyDescent="0.25">
      <c r="A141">
        <f>IFERROR(INDEX(Config!$A:$A,ROW()),)</f>
        <v>0</v>
      </c>
      <c r="B141">
        <f>IFERROR(INDEX(Config!$B:$B,ROW()),)</f>
        <v>0</v>
      </c>
      <c r="F141">
        <f t="shared" si="4"/>
        <v>0</v>
      </c>
    </row>
    <row r="142" spans="1:6" x14ac:dyDescent="0.25">
      <c r="A142">
        <f>IFERROR(INDEX(Config!$A:$A,ROW()),)</f>
        <v>0</v>
      </c>
      <c r="B142">
        <f>IFERROR(INDEX(Config!$B:$B,ROW()),)</f>
        <v>0</v>
      </c>
      <c r="F142">
        <f t="shared" si="4"/>
        <v>0</v>
      </c>
    </row>
    <row r="143" spans="1:6" x14ac:dyDescent="0.25">
      <c r="A143">
        <f>IFERROR(INDEX(Config!$A:$A,ROW()),)</f>
        <v>0</v>
      </c>
      <c r="B143">
        <f>IFERROR(INDEX(Config!$B:$B,ROW()),)</f>
        <v>0</v>
      </c>
      <c r="F143">
        <f t="shared" si="4"/>
        <v>0</v>
      </c>
    </row>
    <row r="144" spans="1:6" x14ac:dyDescent="0.25">
      <c r="A144">
        <f>IFERROR(INDEX(Config!$A:$A,ROW()),)</f>
        <v>0</v>
      </c>
      <c r="B144">
        <f>IFERROR(INDEX(Config!$B:$B,ROW()),)</f>
        <v>0</v>
      </c>
      <c r="F144">
        <f t="shared" si="4"/>
        <v>0</v>
      </c>
    </row>
    <row r="145" spans="1:6" x14ac:dyDescent="0.25">
      <c r="A145">
        <f>IFERROR(INDEX(Config!$A:$A,ROW()),)</f>
        <v>0</v>
      </c>
      <c r="B145">
        <f>IFERROR(INDEX(Config!$B:$B,ROW()),)</f>
        <v>0</v>
      </c>
      <c r="F145">
        <f t="shared" si="4"/>
        <v>0</v>
      </c>
    </row>
    <row r="146" spans="1:6" x14ac:dyDescent="0.25">
      <c r="A146">
        <f>IFERROR(INDEX(Config!$A:$A,ROW()),)</f>
        <v>0</v>
      </c>
      <c r="B146">
        <f>IFERROR(INDEX(Config!$B:$B,ROW()),)</f>
        <v>0</v>
      </c>
      <c r="F146">
        <f t="shared" si="4"/>
        <v>0</v>
      </c>
    </row>
    <row r="147" spans="1:6" x14ac:dyDescent="0.25">
      <c r="A147">
        <f>IFERROR(INDEX(Config!$A:$A,ROW()),)</f>
        <v>0</v>
      </c>
      <c r="B147">
        <f>IFERROR(INDEX(Config!$B:$B,ROW()),)</f>
        <v>0</v>
      </c>
      <c r="F147">
        <f t="shared" si="4"/>
        <v>0</v>
      </c>
    </row>
    <row r="148" spans="1:6" x14ac:dyDescent="0.25">
      <c r="A148">
        <f>IFERROR(INDEX(Config!$A:$A,ROW()),)</f>
        <v>0</v>
      </c>
      <c r="B148">
        <f>IFERROR(INDEX(Config!$B:$B,ROW()),)</f>
        <v>0</v>
      </c>
      <c r="F148">
        <f t="shared" si="4"/>
        <v>0</v>
      </c>
    </row>
    <row r="149" spans="1:6" x14ac:dyDescent="0.25">
      <c r="A149">
        <f>IFERROR(INDEX(Config!$A:$A,ROW()),)</f>
        <v>0</v>
      </c>
      <c r="B149">
        <f>IFERROR(INDEX(Config!$B:$B,ROW()),)</f>
        <v>0</v>
      </c>
      <c r="F149">
        <f t="shared" si="4"/>
        <v>0</v>
      </c>
    </row>
    <row r="150" spans="1:6" x14ac:dyDescent="0.25">
      <c r="A150">
        <f>IFERROR(INDEX(Config!$A:$A,ROW()),)</f>
        <v>0</v>
      </c>
      <c r="B150">
        <f>IFERROR(INDEX(Config!$B:$B,ROW()),)</f>
        <v>0</v>
      </c>
      <c r="F150">
        <f t="shared" si="4"/>
        <v>0</v>
      </c>
    </row>
    <row r="151" spans="1:6" x14ac:dyDescent="0.25">
      <c r="A151">
        <f>IFERROR(INDEX(Config!$A:$A,ROW()),)</f>
        <v>0</v>
      </c>
      <c r="B151">
        <f>IFERROR(INDEX(Config!$B:$B,ROW()),)</f>
        <v>0</v>
      </c>
      <c r="F151">
        <f t="shared" si="4"/>
        <v>0</v>
      </c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defaultRowHeight="15" x14ac:dyDescent="0.25"/>
  <cols>
    <col min="1" max="5" width="28" customWidth="1"/>
  </cols>
  <sheetData>
    <row r="1" spans="1:5" x14ac:dyDescent="0.25">
      <c r="A1" s="2" t="s">
        <v>50</v>
      </c>
      <c r="B1" s="2"/>
      <c r="C1" s="2"/>
      <c r="D1" s="2"/>
      <c r="E1" s="2"/>
    </row>
    <row r="2" spans="1:5" x14ac:dyDescent="0.25">
      <c r="A2" s="2" t="s">
        <v>51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 t="s">
        <v>52</v>
      </c>
      <c r="B4" s="2" t="str">
        <f ca="1">IF(B2="","",INDIRECT("'"&amp;B2&amp;"'!B1"))</f>
        <v/>
      </c>
      <c r="C4" s="2"/>
      <c r="D4" s="2"/>
      <c r="E4" s="2"/>
    </row>
    <row r="5" spans="1:5" x14ac:dyDescent="0.25">
      <c r="A5" s="2" t="s">
        <v>0</v>
      </c>
      <c r="B5" s="2" t="str">
        <f ca="1">IF(B2="","",INDIRECT("'"&amp;B2&amp;"'!E1"))</f>
        <v/>
      </c>
      <c r="C5" s="2"/>
      <c r="D5" s="2"/>
      <c r="E5" s="2"/>
    </row>
    <row r="6" spans="1:5" x14ac:dyDescent="0.25">
      <c r="A6" s="2" t="s">
        <v>1</v>
      </c>
      <c r="B6" s="2" t="str">
        <f ca="1">IF(B2="","",INDIRECT("'"&amp;B2&amp;"'!B3"))</f>
        <v/>
      </c>
      <c r="C6" s="2"/>
      <c r="D6" s="2"/>
      <c r="E6" s="2"/>
    </row>
    <row r="7" spans="1:5" x14ac:dyDescent="0.25">
      <c r="A7" s="2" t="s">
        <v>53</v>
      </c>
      <c r="B7" s="2" t="str">
        <f ca="1">IF(B2="","",INDIRECT("'"&amp;B2&amp;"'!E34"))</f>
        <v/>
      </c>
      <c r="C7" s="2"/>
      <c r="D7" s="2"/>
      <c r="E7" s="2"/>
    </row>
    <row r="8" spans="1:5" x14ac:dyDescent="0.25">
      <c r="A8" s="2" t="s">
        <v>54</v>
      </c>
      <c r="B8" s="2" t="str">
        <f ca="1">IF(B2="","",INDIRECT("'"&amp;B2&amp;"'!E36"))</f>
        <v/>
      </c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 t="s">
        <v>55</v>
      </c>
      <c r="B10" s="2"/>
      <c r="C10" s="2"/>
      <c r="D10" s="2"/>
      <c r="E10" s="2"/>
    </row>
    <row r="11" spans="1:5" x14ac:dyDescent="0.25">
      <c r="A11" s="2" t="s">
        <v>19</v>
      </c>
      <c r="B11" s="2" t="str">
        <f ca="1">IF(B2="","",COUNTIF(INDIRECT("'"&amp;B2&amp;"'!B6:B33"),"Shopping"))</f>
        <v/>
      </c>
      <c r="C11" s="2"/>
      <c r="D11" s="2"/>
      <c r="E11" s="2"/>
    </row>
    <row r="12" spans="1:5" x14ac:dyDescent="0.25">
      <c r="A12" s="2" t="s">
        <v>20</v>
      </c>
      <c r="B12" s="2" t="str">
        <f ca="1">IF(B2="","",COUNTIF(INDIRECT("'"&amp;B2&amp;"'!B6:B33"),"Cleaning"))</f>
        <v/>
      </c>
      <c r="C12" s="2"/>
      <c r="D12" s="2"/>
      <c r="E12" s="2"/>
    </row>
    <row r="13" spans="1:5" x14ac:dyDescent="0.25">
      <c r="A13" s="2" t="s">
        <v>21</v>
      </c>
      <c r="B13" s="2" t="str">
        <f ca="1">IF(B2="","",COUNTIF(INDIRECT("'"&amp;B2&amp;"'!B6:B33"),"Well-being"))</f>
        <v/>
      </c>
      <c r="C13" s="2"/>
      <c r="D13" s="2"/>
      <c r="E13" s="2"/>
    </row>
    <row r="14" spans="1:5" x14ac:dyDescent="0.25">
      <c r="A14" s="2" t="s">
        <v>22</v>
      </c>
      <c r="B14" s="2" t="str">
        <f ca="1">IF(B2="","",COUNTIF(INDIRECT("'"&amp;B2&amp;"'!B6:B33"),"Budgeting"))</f>
        <v/>
      </c>
      <c r="C14" s="2"/>
      <c r="D14" s="2"/>
      <c r="E14" s="2"/>
    </row>
    <row r="15" spans="1:5" x14ac:dyDescent="0.25">
      <c r="A15" s="2" t="s">
        <v>23</v>
      </c>
      <c r="B15" s="2" t="str">
        <f ca="1">IF(B2="","",COUNTIF(INDIRECT("'"&amp;B2&amp;"'!B6:B33"),"Admin"))</f>
        <v/>
      </c>
      <c r="C15" s="2"/>
      <c r="D15" s="2"/>
      <c r="E15" s="2"/>
    </row>
    <row r="16" spans="1:5" x14ac:dyDescent="0.25">
      <c r="A16" s="2" t="s">
        <v>24</v>
      </c>
      <c r="B16" s="2" t="str">
        <f ca="1">IF(B2="","",COUNTIF(INDIRECT("'"&amp;B2&amp;"'!B6:B33"),"Social Inclusion"))</f>
        <v/>
      </c>
      <c r="C16" s="2"/>
      <c r="D16" s="2"/>
      <c r="E16" s="2"/>
    </row>
    <row r="17" spans="1:5" x14ac:dyDescent="0.25">
      <c r="A17" s="2" t="s">
        <v>25</v>
      </c>
      <c r="B17" s="2" t="str">
        <f ca="1">IF(B2="","",COUNTIF(INDIRECT("'"&amp;B2&amp;"'!B6:B33"),"Personal Care"))</f>
        <v/>
      </c>
      <c r="C17" s="2"/>
      <c r="D17" s="2"/>
      <c r="E17" s="2"/>
    </row>
    <row r="18" spans="1:5" x14ac:dyDescent="0.25">
      <c r="A18" s="2" t="s">
        <v>26</v>
      </c>
      <c r="B18" s="2" t="str">
        <f ca="1">IF(B2="","",COUNTIF(INDIRECT("'"&amp;B2&amp;"'!B6:B33"),"Exercise"))</f>
        <v/>
      </c>
      <c r="C18" s="2"/>
      <c r="D18" s="2"/>
      <c r="E18" s="2"/>
    </row>
    <row r="19" spans="1:5" x14ac:dyDescent="0.25">
      <c r="A19" s="2" t="s">
        <v>27</v>
      </c>
      <c r="B19" s="2" t="str">
        <f ca="1">IF(B2="","",COUNTIF(INDIRECT("'"&amp;B2&amp;"'!B6:B33"),"Other"))</f>
        <v/>
      </c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 t="s">
        <v>32</v>
      </c>
      <c r="B21" s="2"/>
      <c r="C21" s="2"/>
      <c r="D21" s="2"/>
      <c r="E21" s="2"/>
    </row>
    <row r="22" spans="1:5" x14ac:dyDescent="0.25">
      <c r="A22" s="15" t="str">
        <f ca="1">IF(B2="","",INDIRECT("'"&amp;B2&amp;"'!C4"))</f>
        <v/>
      </c>
      <c r="B22" s="16"/>
      <c r="C22" s="16"/>
      <c r="D22" s="16"/>
      <c r="E22" s="17"/>
    </row>
    <row r="23" spans="1:5" x14ac:dyDescent="0.25">
      <c r="A23" s="18"/>
      <c r="B23" s="14"/>
      <c r="C23" s="14"/>
      <c r="D23" s="14"/>
      <c r="E23" s="19"/>
    </row>
    <row r="24" spans="1:5" x14ac:dyDescent="0.25">
      <c r="A24" s="18"/>
      <c r="B24" s="14"/>
      <c r="C24" s="14"/>
      <c r="D24" s="14"/>
      <c r="E24" s="19"/>
    </row>
    <row r="25" spans="1:5" x14ac:dyDescent="0.25">
      <c r="A25" s="18"/>
      <c r="B25" s="14"/>
      <c r="C25" s="14"/>
      <c r="D25" s="14"/>
      <c r="E25" s="19"/>
    </row>
    <row r="26" spans="1:5" x14ac:dyDescent="0.25">
      <c r="A26" s="20"/>
      <c r="B26" s="21"/>
      <c r="C26" s="21"/>
      <c r="D26" s="21"/>
      <c r="E26" s="22"/>
    </row>
    <row r="27" spans="1:5" x14ac:dyDescent="0.25">
      <c r="A27" s="2"/>
      <c r="B27" s="2"/>
      <c r="C27" s="2"/>
      <c r="D27" s="2"/>
      <c r="E27" s="2"/>
    </row>
    <row r="28" spans="1:5" x14ac:dyDescent="0.25">
      <c r="A28" s="2" t="s">
        <v>33</v>
      </c>
      <c r="B28" s="2" t="str">
        <f ca="1">IF(B2="","",COUNTIF(INDIRECT("'"&amp;B2&amp;"'!C6:C33"),"*miss*")+COUNTIF(INDIRECT("'"&amp;B2&amp;"'!C6:C33"),"*refus*")+COUNTIF(INDIRECT("'"&amp;B2&amp;"'!C6:C33"),"*declin*")+COUNTIF(INDIRECT("'"&amp;B2&amp;"'!C6:C33"),"*did not*"))</f>
        <v/>
      </c>
      <c r="C28" s="2"/>
      <c r="D28" s="2"/>
      <c r="E28" s="2"/>
    </row>
    <row r="29" spans="1:5" x14ac:dyDescent="0.25">
      <c r="A29" s="2"/>
      <c r="B29" s="2"/>
      <c r="C29" s="2"/>
      <c r="D29" s="2"/>
      <c r="E29" s="2"/>
    </row>
  </sheetData>
  <mergeCells count="1">
    <mergeCell ref="A22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4" width="32" customWidth="1"/>
  </cols>
  <sheetData>
    <row r="1" spans="1:4" x14ac:dyDescent="0.25">
      <c r="A1" s="4" t="s">
        <v>28</v>
      </c>
      <c r="B1" s="4" t="s">
        <v>29</v>
      </c>
      <c r="C1" s="4" t="s">
        <v>56</v>
      </c>
      <c r="D1" s="4" t="s">
        <v>57</v>
      </c>
    </row>
    <row r="2" spans="1:4" x14ac:dyDescent="0.25">
      <c r="A2" s="5" t="s">
        <v>58</v>
      </c>
      <c r="B2" s="5" t="s">
        <v>59</v>
      </c>
      <c r="C2" s="5" t="s">
        <v>60</v>
      </c>
      <c r="D2" s="5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workbookViewId="0">
      <pane ySplit="5" topLeftCell="A6" activePane="bottomLeft" state="frozen"/>
      <selection pane="bottomLeft"/>
    </sheetView>
  </sheetViews>
  <sheetFormatPr defaultRowHeight="15" x14ac:dyDescent="0.25"/>
  <sheetData>
    <row r="1" spans="1:7" ht="21" x14ac:dyDescent="0.35">
      <c r="A1" s="6" t="s">
        <v>62</v>
      </c>
    </row>
    <row r="3" spans="1:7" x14ac:dyDescent="0.25">
      <c r="A3" t="s">
        <v>0</v>
      </c>
      <c r="B3" s="5"/>
      <c r="D3" t="s">
        <v>52</v>
      </c>
      <c r="E3" s="5" t="s">
        <v>63</v>
      </c>
    </row>
    <row r="6" spans="1:7" x14ac:dyDescent="0.25">
      <c r="A6" s="7" t="s">
        <v>64</v>
      </c>
    </row>
    <row r="7" spans="1:7" x14ac:dyDescent="0.25">
      <c r="A7" t="s">
        <v>31</v>
      </c>
      <c r="B7" s="8">
        <f>SUMPRODUCT((Summary!$C$2:$C$1000=$B$3)*((Summary!$A$2:$A$1000=$E$3)+($E$3="All"))*Summary!$D$2:$D$1000)</f>
        <v>0</v>
      </c>
    </row>
    <row r="8" spans="1:7" x14ac:dyDescent="0.25">
      <c r="A8" t="s">
        <v>65</v>
      </c>
      <c r="B8" s="8">
        <f>SUMPRODUCT((Summary!$C$2:$C$1000=$B$3)*((Summary!$A$2:$A$1000=$E$3)+($E$3="All"))*Summary!$E$2:$E$1000)</f>
        <v>0</v>
      </c>
    </row>
    <row r="9" spans="1:7" x14ac:dyDescent="0.25">
      <c r="A9" t="s">
        <v>66</v>
      </c>
      <c r="B9" s="8">
        <f>SUMPRODUCT((Summary!$C$2:$C$1000=$B$3)*((Summary!$A$2:$A$1000=$E$3)+($E$3="All"))*Summary!$F$2:$F$1000)</f>
        <v>0</v>
      </c>
    </row>
    <row r="10" spans="1:7" x14ac:dyDescent="0.25">
      <c r="A10" t="s">
        <v>67</v>
      </c>
      <c r="B10" s="8">
        <f>IFERROR(SUMPRODUCT((Summary!$C$2:$C$1000=$B$3)*((Summary!$A$2:$A$1000=$E$3)+($E$3="All"))*(Summary!$D$2:$D$1000)/(Summary!$E$2:$E$1000))/SUMPRODUCT((Summary!$C$2:$C$1000=$B$3)*((Summary!$A$2:$A$1000=$E$3)+($E$3="All"))),0)</f>
        <v>0</v>
      </c>
    </row>
    <row r="13" spans="1:7" x14ac:dyDescent="0.25">
      <c r="A13" s="7" t="s">
        <v>68</v>
      </c>
      <c r="E13" s="9" t="s">
        <v>28</v>
      </c>
      <c r="F13" s="9" t="s">
        <v>69</v>
      </c>
      <c r="G13" s="9" t="s">
        <v>70</v>
      </c>
    </row>
    <row r="14" spans="1:7" x14ac:dyDescent="0.25">
      <c r="A14" t="s">
        <v>19</v>
      </c>
      <c r="B14">
        <f>SUMPRODUCT((Summary!$C$2:$C$1000=$B$3)*((Summary!$A$2:$A$1000=$E$3)+($E$3="All"))*Summary!$I$2:$I$1000)</f>
        <v>0</v>
      </c>
      <c r="E14" t="str">
        <f>IFERROR(INDEX(Config!$A$2:$A$100,1),"")</f>
        <v>Example Service User</v>
      </c>
      <c r="F14">
        <f>SUMPRODUCT((Summary!$C$2:$C$1000=$B$3)*(Summary!$A$2:$A$1000=E14)*Summary!$D$2:$D$1000)</f>
        <v>0</v>
      </c>
      <c r="G14">
        <f>SUMPRODUCT((Summary!$C$2:$C$1000=$B$3)*(Summary!$A$2:$A$1000=E14)*Summary!$E$2:$E$1000)</f>
        <v>0</v>
      </c>
    </row>
    <row r="15" spans="1:7" x14ac:dyDescent="0.25">
      <c r="A15" t="s">
        <v>20</v>
      </c>
      <c r="B15">
        <f>SUMPRODUCT((Summary!$C$2:$C$1000=$B$3)*((Summary!$A$2:$A$1000=$E$3)+($E$3="All"))*Summary!$J$2:$J$1000)</f>
        <v>0</v>
      </c>
      <c r="E15">
        <f>IFERROR(INDEX(Config!$A$2:$A$100,2),"")</f>
        <v>0</v>
      </c>
      <c r="F15">
        <f>SUMPRODUCT((Summary!$C$2:$C$1000=$B$3)*(Summary!$A$2:$A$1000=E15)*Summary!$D$2:$D$1000)</f>
        <v>0</v>
      </c>
      <c r="G15">
        <f>SUMPRODUCT((Summary!$C$2:$C$1000=$B$3)*(Summary!$A$2:$A$1000=E15)*Summary!$E$2:$E$1000)</f>
        <v>0</v>
      </c>
    </row>
    <row r="16" spans="1:7" x14ac:dyDescent="0.25">
      <c r="A16" t="s">
        <v>21</v>
      </c>
      <c r="B16">
        <f>SUMPRODUCT((Summary!$C$2:$C$1000=$B$3)*((Summary!$A$2:$A$1000=$E$3)+($E$3="All"))*Summary!$K$2:$K$1000)</f>
        <v>0</v>
      </c>
      <c r="E16">
        <f>IFERROR(INDEX(Config!$A$2:$A$100,3),"")</f>
        <v>0</v>
      </c>
      <c r="F16">
        <f>SUMPRODUCT((Summary!$C$2:$C$1000=$B$3)*(Summary!$A$2:$A$1000=E16)*Summary!$D$2:$D$1000)</f>
        <v>0</v>
      </c>
      <c r="G16">
        <f>SUMPRODUCT((Summary!$C$2:$C$1000=$B$3)*(Summary!$A$2:$A$1000=E16)*Summary!$E$2:$E$1000)</f>
        <v>0</v>
      </c>
    </row>
    <row r="17" spans="1:7" x14ac:dyDescent="0.25">
      <c r="A17" t="s">
        <v>22</v>
      </c>
      <c r="B17">
        <f>SUMPRODUCT((Summary!$C$2:$C$1000=$B$3)*((Summary!$A$2:$A$1000=$E$3)+($E$3="All"))*Summary!$L$2:$L$1000)</f>
        <v>0</v>
      </c>
      <c r="E17">
        <f>IFERROR(INDEX(Config!$A$2:$A$100,4),"")</f>
        <v>0</v>
      </c>
      <c r="F17">
        <f>SUMPRODUCT((Summary!$C$2:$C$1000=$B$3)*(Summary!$A$2:$A$1000=E17)*Summary!$D$2:$D$1000)</f>
        <v>0</v>
      </c>
      <c r="G17">
        <f>SUMPRODUCT((Summary!$C$2:$C$1000=$B$3)*(Summary!$A$2:$A$1000=E17)*Summary!$E$2:$E$1000)</f>
        <v>0</v>
      </c>
    </row>
    <row r="18" spans="1:7" x14ac:dyDescent="0.25">
      <c r="A18" t="s">
        <v>23</v>
      </c>
      <c r="B18">
        <f>SUMPRODUCT((Summary!$C$2:$C$1000=$B$3)*((Summary!$A$2:$A$1000=$E$3)+($E$3="All"))*Summary!$M$2:$M$1000)</f>
        <v>0</v>
      </c>
      <c r="E18">
        <f>IFERROR(INDEX(Config!$A$2:$A$100,5),"")</f>
        <v>0</v>
      </c>
      <c r="F18">
        <f>SUMPRODUCT((Summary!$C$2:$C$1000=$B$3)*(Summary!$A$2:$A$1000=E18)*Summary!$D$2:$D$1000)</f>
        <v>0</v>
      </c>
      <c r="G18">
        <f>SUMPRODUCT((Summary!$C$2:$C$1000=$B$3)*(Summary!$A$2:$A$1000=E18)*Summary!$E$2:$E$1000)</f>
        <v>0</v>
      </c>
    </row>
    <row r="19" spans="1:7" x14ac:dyDescent="0.25">
      <c r="A19" t="s">
        <v>24</v>
      </c>
      <c r="B19">
        <f>SUMPRODUCT((Summary!$C$2:$C$1000=$B$3)*((Summary!$A$2:$A$1000=$E$3)+($E$3="All"))*Summary!$N$2:$N$1000)</f>
        <v>0</v>
      </c>
      <c r="E19">
        <f>IFERROR(INDEX(Config!$A$2:$A$100,6),"")</f>
        <v>0</v>
      </c>
      <c r="F19">
        <f>SUMPRODUCT((Summary!$C$2:$C$1000=$B$3)*(Summary!$A$2:$A$1000=E19)*Summary!$D$2:$D$1000)</f>
        <v>0</v>
      </c>
      <c r="G19">
        <f>SUMPRODUCT((Summary!$C$2:$C$1000=$B$3)*(Summary!$A$2:$A$1000=E19)*Summary!$E$2:$E$1000)</f>
        <v>0</v>
      </c>
    </row>
    <row r="20" spans="1:7" x14ac:dyDescent="0.25">
      <c r="A20" t="s">
        <v>25</v>
      </c>
      <c r="B20">
        <f>SUMPRODUCT((Summary!$C$2:$C$1000=$B$3)*((Summary!$A$2:$A$1000=$E$3)+($E$3="All"))*Summary!$O$2:$O$1000)</f>
        <v>0</v>
      </c>
      <c r="E20">
        <f>IFERROR(INDEX(Config!$A$2:$A$100,7),"")</f>
        <v>0</v>
      </c>
      <c r="F20">
        <f>SUMPRODUCT((Summary!$C$2:$C$1000=$B$3)*(Summary!$A$2:$A$1000=E20)*Summary!$D$2:$D$1000)</f>
        <v>0</v>
      </c>
      <c r="G20">
        <f>SUMPRODUCT((Summary!$C$2:$C$1000=$B$3)*(Summary!$A$2:$A$1000=E20)*Summary!$E$2:$E$1000)</f>
        <v>0</v>
      </c>
    </row>
    <row r="21" spans="1:7" x14ac:dyDescent="0.25">
      <c r="A21" t="s">
        <v>26</v>
      </c>
      <c r="B21">
        <f>SUMPRODUCT((Summary!$C$2:$C$1000=$B$3)*((Summary!$A$2:$A$1000=$E$3)+($E$3="All"))*Summary!$P$2:$P$1000)</f>
        <v>0</v>
      </c>
      <c r="E21">
        <f>IFERROR(INDEX(Config!$A$2:$A$100,8),"")</f>
        <v>0</v>
      </c>
      <c r="F21">
        <f>SUMPRODUCT((Summary!$C$2:$C$1000=$B$3)*(Summary!$A$2:$A$1000=E21)*Summary!$D$2:$D$1000)</f>
        <v>0</v>
      </c>
      <c r="G21">
        <f>SUMPRODUCT((Summary!$C$2:$C$1000=$B$3)*(Summary!$A$2:$A$1000=E21)*Summary!$E$2:$E$1000)</f>
        <v>0</v>
      </c>
    </row>
    <row r="22" spans="1:7" x14ac:dyDescent="0.25">
      <c r="A22" t="s">
        <v>27</v>
      </c>
      <c r="B22">
        <f>SUMPRODUCT((Summary!$C$2:$C$1000=$B$3)*((Summary!$A$2:$A$1000=$E$3)+($E$3="All"))*Summary!$Q$2:$Q$1000)</f>
        <v>0</v>
      </c>
      <c r="E22">
        <f>IFERROR(INDEX(Config!$A$2:$A$100,9),"")</f>
        <v>0</v>
      </c>
      <c r="F22">
        <f>SUMPRODUCT((Summary!$C$2:$C$1000=$B$3)*(Summary!$A$2:$A$1000=E22)*Summary!$D$2:$D$1000)</f>
        <v>0</v>
      </c>
      <c r="G22">
        <f>SUMPRODUCT((Summary!$C$2:$C$1000=$B$3)*(Summary!$A$2:$A$1000=E22)*Summary!$E$2:$E$1000)</f>
        <v>0</v>
      </c>
    </row>
    <row r="23" spans="1:7" x14ac:dyDescent="0.25">
      <c r="E23">
        <f>IFERROR(INDEX(Config!$A$2:$A$100,10),"")</f>
        <v>0</v>
      </c>
      <c r="F23">
        <f>SUMPRODUCT((Summary!$C$2:$C$1000=$B$3)*(Summary!$A$2:$A$1000=E23)*Summary!$D$2:$D$1000)</f>
        <v>0</v>
      </c>
      <c r="G23">
        <f>SUMPRODUCT((Summary!$C$2:$C$1000=$B$3)*(Summary!$A$2:$A$1000=E23)*Summary!$E$2:$E$1000)</f>
        <v>0</v>
      </c>
    </row>
    <row r="24" spans="1:7" x14ac:dyDescent="0.25">
      <c r="E24">
        <f>IFERROR(INDEX(Config!$A$2:$A$100,11),"")</f>
        <v>0</v>
      </c>
      <c r="F24">
        <f>SUMPRODUCT((Summary!$C$2:$C$1000=$B$3)*(Summary!$A$2:$A$1000=E24)*Summary!$D$2:$D$1000)</f>
        <v>0</v>
      </c>
      <c r="G24">
        <f>SUMPRODUCT((Summary!$C$2:$C$1000=$B$3)*(Summary!$A$2:$A$1000=E24)*Summary!$E$2:$E$1000)</f>
        <v>0</v>
      </c>
    </row>
    <row r="25" spans="1:7" x14ac:dyDescent="0.25">
      <c r="A25" t="s">
        <v>43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</row>
    <row r="26" spans="1:7" x14ac:dyDescent="0.25">
      <c r="A26">
        <f>SUMPRODUCT((Summary!$C$2:$C$1000=$B$3)*((Summary!$A$2:$A$1000=$E$3)+($E$3="All"))*Summary!$S$2:$S$1000)</f>
        <v>0</v>
      </c>
      <c r="B26">
        <f>SUMPRODUCT((Summary!$C$2:$C$1000=$B$3)*((Summary!$A$2:$A$1000=$E$3)+($E$3="All"))*Summary!$T$2:$T$1000)</f>
        <v>0</v>
      </c>
      <c r="C26">
        <f>SUMPRODUCT((Summary!$C$2:$C$1000=$B$3)*((Summary!$A$2:$A$1000=$E$3)+($E$3="All"))*Summary!$U$2:$U$1000)</f>
        <v>0</v>
      </c>
      <c r="D26">
        <f>SUMPRODUCT((Summary!$C$2:$C$1000=$B$3)*((Summary!$A$2:$A$1000=$E$3)+($E$3="All"))*Summary!$V$2:$V$1000)</f>
        <v>0</v>
      </c>
      <c r="E26">
        <f>SUMPRODUCT((Summary!$C$2:$C$1000=$B$3)*((Summary!$A$2:$A$1000=$E$3)+($E$3="All"))*Summary!$W$2:$W$1000)</f>
        <v>0</v>
      </c>
      <c r="F26">
        <f>SUMPRODUCT((Summary!$C$2:$C$1000=$B$3)*((Summary!$A$2:$A$1000=$E$3)+($E$3="All"))*Summary!$X$2:$X$1000)</f>
        <v>0</v>
      </c>
      <c r="G26">
        <f>SUMPRODUCT((Summary!$C$2:$C$1000=$B$3)*((Summary!$A$2:$A$1000=$E$3)+($E$3="All"))*Summary!$Y$2:$Y$1000)</f>
        <v>0</v>
      </c>
    </row>
    <row r="27" spans="1:7" x14ac:dyDescent="0.25">
      <c r="E27">
        <f>IFERROR(INDEX(Config!$A$2:$A$100,14),"")</f>
        <v>0</v>
      </c>
      <c r="F27">
        <f>SUMPRODUCT((Summary!$C$2:$C$1000=$B$3)*(Summary!$A$2:$A$1000=E27)*Summary!$D$2:$D$1000)</f>
        <v>0</v>
      </c>
      <c r="G27">
        <f>SUMPRODUCT((Summary!$C$2:$C$1000=$B$3)*(Summary!$A$2:$A$1000=E27)*Summary!$E$2:$E$1000)</f>
        <v>0</v>
      </c>
    </row>
    <row r="28" spans="1:7" x14ac:dyDescent="0.25">
      <c r="E28">
        <f>IFERROR(INDEX(Config!$A$2:$A$100,15),"")</f>
        <v>0</v>
      </c>
      <c r="F28">
        <f>SUMPRODUCT((Summary!$C$2:$C$1000=$B$3)*(Summary!$A$2:$A$1000=E28)*Summary!$D$2:$D$1000)</f>
        <v>0</v>
      </c>
      <c r="G28">
        <f>SUMPRODUCT((Summary!$C$2:$C$1000=$B$3)*(Summary!$A$2:$A$1000=E28)*Summary!$E$2:$E$1000)</f>
        <v>0</v>
      </c>
    </row>
    <row r="29" spans="1:7" x14ac:dyDescent="0.25">
      <c r="E29">
        <f>IFERROR(INDEX(Config!$A$2:$A$100,16),"")</f>
        <v>0</v>
      </c>
      <c r="F29">
        <f>SUMPRODUCT((Summary!$C$2:$C$1000=$B$3)*(Summary!$A$2:$A$1000=E29)*Summary!$D$2:$D$1000)</f>
        <v>0</v>
      </c>
      <c r="G29">
        <f>SUMPRODUCT((Summary!$C$2:$C$1000=$B$3)*(Summary!$A$2:$A$1000=E29)*Summary!$E$2:$E$1000)</f>
        <v>0</v>
      </c>
    </row>
    <row r="30" spans="1:7" x14ac:dyDescent="0.25">
      <c r="E30">
        <f>IFERROR(INDEX(Config!$A$2:$A$100,17),"")</f>
        <v>0</v>
      </c>
      <c r="F30">
        <f>SUMPRODUCT((Summary!$C$2:$C$1000=$B$3)*(Summary!$A$2:$A$1000=E30)*Summary!$D$2:$D$1000)</f>
        <v>0</v>
      </c>
      <c r="G30">
        <f>SUMPRODUCT((Summary!$C$2:$C$1000=$B$3)*(Summary!$A$2:$A$1000=E30)*Summary!$E$2:$E$1000)</f>
        <v>0</v>
      </c>
    </row>
    <row r="31" spans="1:7" x14ac:dyDescent="0.25">
      <c r="E31">
        <f>IFERROR(INDEX(Config!$A$2:$A$100,18),"")</f>
        <v>0</v>
      </c>
      <c r="F31">
        <f>SUMPRODUCT((Summary!$C$2:$C$1000=$B$3)*(Summary!$A$2:$A$1000=E31)*Summary!$D$2:$D$1000)</f>
        <v>0</v>
      </c>
      <c r="G31">
        <f>SUMPRODUCT((Summary!$C$2:$C$1000=$B$3)*(Summary!$A$2:$A$1000=E31)*Summary!$E$2:$E$1000)</f>
        <v>0</v>
      </c>
    </row>
    <row r="32" spans="1:7" x14ac:dyDescent="0.25">
      <c r="E32">
        <f>IFERROR(INDEX(Config!$A$2:$A$100,19),"")</f>
        <v>0</v>
      </c>
      <c r="F32">
        <f>SUMPRODUCT((Summary!$C$2:$C$1000=$B$3)*(Summary!$A$2:$A$1000=E32)*Summary!$D$2:$D$1000)</f>
        <v>0</v>
      </c>
      <c r="G32">
        <f>SUMPRODUCT((Summary!$C$2:$C$1000=$B$3)*(Summary!$A$2:$A$1000=E32)*Summary!$E$2:$E$1000)</f>
        <v>0</v>
      </c>
    </row>
    <row r="33" spans="5:7" x14ac:dyDescent="0.25">
      <c r="E33">
        <f>IFERROR(INDEX(Config!$A$2:$A$100,20),"")</f>
        <v>0</v>
      </c>
      <c r="F33">
        <f>SUMPRODUCT((Summary!$C$2:$C$1000=$B$3)*(Summary!$A$2:$A$1000=E33)*Summary!$D$2:$D$1000)</f>
        <v>0</v>
      </c>
      <c r="G33">
        <f>SUMPRODUCT((Summary!$C$2:$C$1000=$B$3)*(Summary!$A$2:$A$1000=E33)*Summary!$E$2:$E$1000)</f>
        <v>0</v>
      </c>
    </row>
    <row r="34" spans="5:7" x14ac:dyDescent="0.25">
      <c r="E34">
        <f>IFERROR(INDEX(Config!$A$2:$A$100,21),"")</f>
        <v>0</v>
      </c>
      <c r="F34">
        <f>SUMPRODUCT((Summary!$C$2:$C$1000=$B$3)*(Summary!$A$2:$A$1000=E34)*Summary!$D$2:$D$1000)</f>
        <v>0</v>
      </c>
      <c r="G34">
        <f>SUMPRODUCT((Summary!$C$2:$C$1000=$B$3)*(Summary!$A$2:$A$1000=E34)*Summary!$E$2:$E$1000)</f>
        <v>0</v>
      </c>
    </row>
    <row r="35" spans="5:7" x14ac:dyDescent="0.25">
      <c r="E35">
        <f>IFERROR(INDEX(Config!$A$2:$A$100,22),"")</f>
        <v>0</v>
      </c>
      <c r="F35">
        <f>SUMPRODUCT((Summary!$C$2:$C$1000=$B$3)*(Summary!$A$2:$A$1000=E35)*Summary!$D$2:$D$1000)</f>
        <v>0</v>
      </c>
      <c r="G35">
        <f>SUMPRODUCT((Summary!$C$2:$C$1000=$B$3)*(Summary!$A$2:$A$1000=E35)*Summary!$E$2:$E$1000)</f>
        <v>0</v>
      </c>
    </row>
    <row r="36" spans="5:7" x14ac:dyDescent="0.25">
      <c r="E36">
        <f>IFERROR(INDEX(Config!$A$2:$A$100,23),"")</f>
        <v>0</v>
      </c>
      <c r="F36">
        <f>SUMPRODUCT((Summary!$C$2:$C$1000=$B$3)*(Summary!$A$2:$A$1000=E36)*Summary!$D$2:$D$1000)</f>
        <v>0</v>
      </c>
      <c r="G36">
        <f>SUMPRODUCT((Summary!$C$2:$C$1000=$B$3)*(Summary!$A$2:$A$1000=E36)*Summary!$E$2:$E$1000)</f>
        <v>0</v>
      </c>
    </row>
    <row r="37" spans="5:7" x14ac:dyDescent="0.25">
      <c r="E37">
        <f>IFERROR(INDEX(Config!$A$2:$A$100,24),"")</f>
        <v>0</v>
      </c>
      <c r="F37">
        <f>SUMPRODUCT((Summary!$C$2:$C$1000=$B$3)*(Summary!$A$2:$A$1000=E37)*Summary!$D$2:$D$1000)</f>
        <v>0</v>
      </c>
      <c r="G37">
        <f>SUMPRODUCT((Summary!$C$2:$C$1000=$B$3)*(Summary!$A$2:$A$1000=E37)*Summary!$E$2:$E$1000)</f>
        <v>0</v>
      </c>
    </row>
    <row r="38" spans="5:7" x14ac:dyDescent="0.25">
      <c r="E38">
        <f>IFERROR(INDEX(Config!$A$2:$A$100,25),"")</f>
        <v>0</v>
      </c>
      <c r="F38">
        <f>SUMPRODUCT((Summary!$C$2:$C$1000=$B$3)*(Summary!$A$2:$A$1000=E38)*Summary!$D$2:$D$1000)</f>
        <v>0</v>
      </c>
      <c r="G38">
        <f>SUMPRODUCT((Summary!$C$2:$C$1000=$B$3)*(Summary!$A$2:$A$1000=E38)*Summary!$E$2:$E$1000)</f>
        <v>0</v>
      </c>
    </row>
    <row r="39" spans="5:7" x14ac:dyDescent="0.25">
      <c r="E39">
        <f>IFERROR(INDEX(Config!$A$2:$A$100,26),"")</f>
        <v>0</v>
      </c>
      <c r="F39">
        <f>SUMPRODUCT((Summary!$C$2:$C$1000=$B$3)*(Summary!$A$2:$A$1000=E39)*Summary!$D$2:$D$1000)</f>
        <v>0</v>
      </c>
      <c r="G39">
        <f>SUMPRODUCT((Summary!$C$2:$C$1000=$B$3)*(Summary!$A$2:$A$1000=E39)*Summary!$E$2:$E$1000)</f>
        <v>0</v>
      </c>
    </row>
    <row r="40" spans="5:7" x14ac:dyDescent="0.25">
      <c r="E40">
        <f>IFERROR(INDEX(Config!$A$2:$A$100,27),"")</f>
        <v>0</v>
      </c>
      <c r="F40">
        <f>SUMPRODUCT((Summary!$C$2:$C$1000=$B$3)*(Summary!$A$2:$A$1000=E40)*Summary!$D$2:$D$1000)</f>
        <v>0</v>
      </c>
      <c r="G40">
        <f>SUMPRODUCT((Summary!$C$2:$C$1000=$B$3)*(Summary!$A$2:$A$1000=E40)*Summary!$E$2:$E$1000)</f>
        <v>0</v>
      </c>
    </row>
    <row r="41" spans="5:7" x14ac:dyDescent="0.25">
      <c r="E41">
        <f>IFERROR(INDEX(Config!$A$2:$A$100,28),"")</f>
        <v>0</v>
      </c>
      <c r="F41">
        <f>SUMPRODUCT((Summary!$C$2:$C$1000=$B$3)*(Summary!$A$2:$A$1000=E41)*Summary!$D$2:$D$1000)</f>
        <v>0</v>
      </c>
      <c r="G41">
        <f>SUMPRODUCT((Summary!$C$2:$C$1000=$B$3)*(Summary!$A$2:$A$1000=E41)*Summary!$E$2:$E$1000)</f>
        <v>0</v>
      </c>
    </row>
    <row r="42" spans="5:7" x14ac:dyDescent="0.25">
      <c r="E42">
        <f>IFERROR(INDEX(Config!$A$2:$A$100,29),"")</f>
        <v>0</v>
      </c>
      <c r="F42">
        <f>SUMPRODUCT((Summary!$C$2:$C$1000=$B$3)*(Summary!$A$2:$A$1000=E42)*Summary!$D$2:$D$1000)</f>
        <v>0</v>
      </c>
      <c r="G42">
        <f>SUMPRODUCT((Summary!$C$2:$C$1000=$B$3)*(Summary!$A$2:$A$1000=E42)*Summary!$E$2:$E$1000)</f>
        <v>0</v>
      </c>
    </row>
    <row r="43" spans="5:7" x14ac:dyDescent="0.25">
      <c r="E43">
        <f>IFERROR(INDEX(Config!$A$2:$A$100,30),"")</f>
        <v>0</v>
      </c>
      <c r="F43">
        <f>SUMPRODUCT((Summary!$C$2:$C$1000=$B$3)*(Summary!$A$2:$A$1000=E43)*Summary!$D$2:$D$1000)</f>
        <v>0</v>
      </c>
      <c r="G43">
        <f>SUMPRODUCT((Summary!$C$2:$C$1000=$B$3)*(Summary!$A$2:$A$1000=E43)*Summary!$E$2:$E$1000)</f>
        <v>0</v>
      </c>
    </row>
  </sheetData>
  <sheetProtection sheet="1"/>
  <dataValidations count="1">
    <dataValidation type="list" allowBlank="1" sqref="E3" xr:uid="{00000000-0002-0000-0500-000000000000}">
      <formula1>Users_List</formula1>
    </dataValidation>
  </dataValidation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9FDD59E62DF4788D81F33ED9459A9" ma:contentTypeVersion="13" ma:contentTypeDescription="Create a new document." ma:contentTypeScope="" ma:versionID="64bdbb96769c95509e712e599517d1b6">
  <xsd:schema xmlns:xsd="http://www.w3.org/2001/XMLSchema" xmlns:xs="http://www.w3.org/2001/XMLSchema" xmlns:p="http://schemas.microsoft.com/office/2006/metadata/properties" xmlns:ns2="ea10238c-7b10-4abe-85a1-7a6324c088b0" xmlns:ns3="b6c22605-8e45-430f-b896-75565c7ead08" targetNamespace="http://schemas.microsoft.com/office/2006/metadata/properties" ma:root="true" ma:fieldsID="ea0e2a01d02f1fcbc2120813c0df0901" ns2:_="" ns3:_="">
    <xsd:import namespace="ea10238c-7b10-4abe-85a1-7a6324c088b0"/>
    <xsd:import namespace="b6c22605-8e45-430f-b896-75565c7ea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238c-7b10-4abe-85a1-7a6324c08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1778a27-e9b4-4bde-b939-654325d550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22605-8e45-430f-b896-75565c7ead0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879284-2aa4-4541-8a35-706758ee965f}" ma:internalName="TaxCatchAll" ma:showField="CatchAllData" ma:web="b6c22605-8e45-430f-b896-75565c7ea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c22605-8e45-430f-b896-75565c7ead08" xsi:nil="true"/>
    <lcf76f155ced4ddcb4097134ff3c332f xmlns="ea10238c-7b10-4abe-85a1-7a6324c088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28A9B-7833-41B7-B219-F26D518BC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0238c-7b10-4abe-85a1-7a6324c088b0"/>
    <ds:schemaRef ds:uri="b6c22605-8e45-430f-b896-75565c7ea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9FA3A2-D237-4E2D-B473-036FBACAAA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DA1AF-AFA4-4A6E-98A6-C2FB6E8D79D9}">
  <ds:schemaRefs>
    <ds:schemaRef ds:uri="http://schemas.microsoft.com/office/2006/metadata/properties"/>
    <ds:schemaRef ds:uri="http://schemas.microsoft.com/office/infopath/2007/PartnerControls"/>
    <ds:schemaRef ds:uri="b6c22605-8e45-430f-b896-75565c7ead08"/>
    <ds:schemaRef ds:uri="ea10238c-7b10-4abe-85a1-7a6324c088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Lists</vt:lpstr>
      <vt:lpstr>Master Template</vt:lpstr>
      <vt:lpstr>Summary</vt:lpstr>
      <vt:lpstr>Commissioner Export</vt:lpstr>
      <vt:lpstr>Config</vt:lpstr>
      <vt:lpstr>Dashboard</vt:lpstr>
      <vt:lpstr>'Commissioner Export'!Print_Area</vt:lpstr>
      <vt:lpstr>Users_List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Dorrance Davis</cp:lastModifiedBy>
  <dcterms:created xsi:type="dcterms:W3CDTF">2026-02-23T13:07:23Z</dcterms:created>
  <dcterms:modified xsi:type="dcterms:W3CDTF">2026-03-20T16:10:43Z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0x01010067E9FDD59E62DF4788D81F33ED9459A9</vt:lpwstr>
  </property>
  <property fmtid="{D5CDD505-2E9C-101B-9397-08002B2CF9AE}" pid="3" name="MediaServiceImageTags">
    <vt:lpwstr/>
  </property>
</Properties>
</file>